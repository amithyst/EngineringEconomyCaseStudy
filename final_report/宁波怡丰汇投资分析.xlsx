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" sheetId="1" state="visible" r:id="rId1"/>
    <sheet xmlns:r="http://schemas.openxmlformats.org/officeDocument/2006/relationships" name="主要假设" sheetId="2" state="visible" r:id="rId2"/>
    <sheet xmlns:r="http://schemas.openxmlformats.org/officeDocument/2006/relationships" name="年度现金流" sheetId="3" state="visible" r:id="rId3"/>
    <sheet xmlns:r="http://schemas.openxmlformats.org/officeDocument/2006/relationships" name="季度现金流" sheetId="4" state="visible" r:id="rId4"/>
    <sheet xmlns:r="http://schemas.openxmlformats.org/officeDocument/2006/relationships" name="收购价格" sheetId="5" state="visible" r:id="rId5"/>
    <sheet xmlns:r="http://schemas.openxmlformats.org/officeDocument/2006/relationships" name="敏感性分析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16">
    <font>
      <name val="Calibri"/>
      <family val="2"/>
      <color theme="1"/>
      <sz val="11"/>
      <scheme val="minor"/>
    </font>
    <font>
      <name val="微软雅黑"/>
      <b val="1"/>
      <color rgb="001F3864"/>
      <sz val="22"/>
    </font>
    <font>
      <name val="微软雅黑"/>
      <color rgb="002E75B6"/>
      <sz val="13"/>
    </font>
    <font>
      <name val="微软雅黑"/>
      <sz val="11"/>
    </font>
    <font>
      <name val="微软雅黑"/>
      <color rgb="002E75B6"/>
      <sz val="10"/>
    </font>
    <font>
      <name val="微软雅黑"/>
      <b val="1"/>
      <color rgb="00FFFFFF"/>
      <sz val="13"/>
    </font>
    <font>
      <name val="微软雅黑"/>
      <b val="1"/>
      <color rgb="00FFFFFF"/>
      <sz val="11"/>
    </font>
    <font>
      <name val="微软雅黑"/>
      <b val="1"/>
      <color rgb="001F3864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color rgb="00595959"/>
      <sz val="9"/>
    </font>
    <font>
      <name val="微软雅黑"/>
      <b val="1"/>
      <color rgb="00FFFFFF"/>
      <sz val="10"/>
    </font>
    <font>
      <name val="微软雅黑"/>
      <color rgb="00000000"/>
      <sz val="9"/>
    </font>
    <font>
      <name val="微软雅黑"/>
      <b val="1"/>
      <color rgb="001F3864"/>
      <sz val="9"/>
    </font>
    <font>
      <name val="微软雅黑"/>
      <color rgb="00C00000"/>
      <sz val="10"/>
    </font>
    <font>
      <name val="微软雅黑"/>
      <color rgb="00375623"/>
      <sz val="10"/>
    </font>
  </fonts>
  <fills count="3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00C880"/>
      </patternFill>
    </fill>
    <fill>
      <patternFill patternType="solid">
        <fgColor rgb="0018C880"/>
      </patternFill>
    </fill>
    <fill>
      <patternFill patternType="solid">
        <fgColor rgb="0031C880"/>
      </patternFill>
    </fill>
    <fill>
      <patternFill patternType="solid">
        <fgColor rgb="0042C880"/>
      </patternFill>
    </fill>
    <fill>
      <patternFill patternType="solid">
        <fgColor rgb="005BC880"/>
      </patternFill>
    </fill>
    <fill>
      <patternFill patternType="solid">
        <fgColor rgb="004DC880"/>
      </patternFill>
    </fill>
    <fill>
      <patternFill patternType="solid">
        <fgColor rgb="0067C880"/>
      </patternFill>
    </fill>
    <fill>
      <patternFill patternType="solid">
        <fgColor rgb="0082C880"/>
      </patternFill>
    </fill>
    <fill>
      <patternFill patternType="solid">
        <fgColor rgb="0094C880"/>
      </patternFill>
    </fill>
    <fill>
      <patternFill patternType="solid">
        <fgColor rgb="00AEC880"/>
      </patternFill>
    </fill>
    <fill>
      <patternFill patternType="solid">
        <fgColor rgb="009AC880"/>
      </patternFill>
    </fill>
    <fill>
      <patternFill patternType="solid">
        <fgColor rgb="00B6C880"/>
      </patternFill>
    </fill>
    <fill>
      <patternFill patternType="solid">
        <fgColor rgb="00D3C880"/>
      </patternFill>
    </fill>
    <fill>
      <patternFill patternType="solid">
        <fgColor rgb="00E6C880"/>
      </patternFill>
    </fill>
    <fill>
      <patternFill patternType="solid">
        <fgColor rgb="00C86280"/>
      </patternFill>
    </fill>
    <fill>
      <patternFill patternType="solid">
        <fgColor rgb="00E7C880"/>
      </patternFill>
    </fill>
    <fill>
      <patternFill patternType="solid">
        <fgColor rgb="00C86180"/>
      </patternFill>
    </fill>
    <fill>
      <patternFill patternType="solid">
        <fgColor rgb="00C85580"/>
      </patternFill>
    </fill>
    <fill>
      <patternFill patternType="solid">
        <fgColor rgb="00C84D80"/>
      </patternFill>
    </fill>
    <fill>
      <patternFill patternType="solid">
        <fgColor rgb="00C84180"/>
      </patternFill>
    </fill>
    <fill>
      <patternFill patternType="solid">
        <fgColor rgb="00C84E80"/>
      </patternFill>
    </fill>
    <fill>
      <patternFill patternType="solid">
        <fgColor rgb="00C84280"/>
      </patternFill>
    </fill>
    <fill>
      <patternFill patternType="solid">
        <fgColor rgb="00C83580"/>
      </patternFill>
    </fill>
    <fill>
      <patternFill patternType="solid">
        <fgColor rgb="00C82D80"/>
      </patternFill>
    </fill>
    <fill>
      <patternFill patternType="solid">
        <fgColor rgb="00C82080"/>
      </patternFill>
    </fill>
    <fill>
      <patternFill patternType="solid">
        <fgColor rgb="00C83080"/>
      </patternFill>
    </fill>
    <fill>
      <patternFill patternType="solid">
        <fgColor rgb="00C82380"/>
      </patternFill>
    </fill>
    <fill>
      <patternFill patternType="solid">
        <fgColor rgb="00C80D80"/>
      </patternFill>
    </fill>
    <fill>
      <patternFill patternType="solid">
        <fgColor rgb="00C8008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/>
    </xf>
    <xf numFmtId="3" fontId="9" fillId="6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9" fontId="8" fillId="5" borderId="1" applyAlignment="1" pivotButton="0" quotePrefix="0" xfId="0">
      <alignment horizontal="right" vertical="center"/>
    </xf>
    <xf numFmtId="1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right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left" vertical="center" wrapText="1"/>
    </xf>
    <xf numFmtId="4" fontId="9" fillId="7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  <xf numFmtId="4" fontId="9" fillId="8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/>
    </xf>
    <xf numFmtId="4" fontId="9" fillId="5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left" vertical="center" wrapText="1"/>
    </xf>
    <xf numFmtId="4" fontId="9" fillId="9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left" vertical="center" wrapText="1"/>
    </xf>
    <xf numFmtId="4" fontId="9" fillId="4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 wrapText="1"/>
    </xf>
    <xf numFmtId="4" fontId="8" fillId="7" borderId="1" applyAlignment="1" pivotButton="0" quotePrefix="0" xfId="0">
      <alignment horizontal="right" vertical="center"/>
    </xf>
    <xf numFmtId="0" fontId="8" fillId="8" borderId="1" applyAlignment="1" pivotButton="0" quotePrefix="0" xfId="0">
      <alignment horizontal="left" vertical="center" wrapText="1"/>
    </xf>
    <xf numFmtId="4" fontId="8" fillId="8" borderId="1" applyAlignment="1" pivotButton="0" quotePrefix="0" xfId="0">
      <alignment horizontal="right" vertical="center"/>
    </xf>
    <xf numFmtId="0" fontId="11" fillId="2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166" fontId="8" fillId="5" borderId="1" applyAlignment="1" pivotButton="0" quotePrefix="0" xfId="0">
      <alignment horizontal="right" vertical="center"/>
    </xf>
    <xf numFmtId="3" fontId="9" fillId="7" borderId="1" applyAlignment="1" pivotButton="0" quotePrefix="0" xfId="0">
      <alignment horizontal="right" vertical="center"/>
    </xf>
    <xf numFmtId="0" fontId="8" fillId="9" borderId="1" applyAlignment="1" pivotButton="0" quotePrefix="0" xfId="0">
      <alignment horizontal="left" vertical="center" wrapText="1"/>
    </xf>
    <xf numFmtId="2" fontId="8" fillId="5" borderId="1" applyAlignment="1" pivotButton="0" quotePrefix="0" xfId="0">
      <alignment horizontal="right" vertical="center"/>
    </xf>
    <xf numFmtId="9" fontId="9" fillId="5" borderId="1" applyAlignment="1" pivotButton="0" quotePrefix="0" xfId="0">
      <alignment horizontal="right" vertical="center"/>
    </xf>
    <xf numFmtId="2" fontId="9" fillId="5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center" vertical="center"/>
    </xf>
    <xf numFmtId="4" fontId="8" fillId="10" borderId="1" applyAlignment="1" pivotButton="0" quotePrefix="0" xfId="0">
      <alignment horizontal="right" vertical="center"/>
    </xf>
    <xf numFmtId="4" fontId="8" fillId="11" borderId="1" applyAlignment="1" pivotButton="0" quotePrefix="0" xfId="0">
      <alignment horizontal="right" vertical="center"/>
    </xf>
    <xf numFmtId="4" fontId="8" fillId="12" borderId="1" applyAlignment="1" pivotButton="0" quotePrefix="0" xfId="0">
      <alignment horizontal="right" vertical="center"/>
    </xf>
    <xf numFmtId="4" fontId="8" fillId="13" borderId="1" applyAlignment="1" pivotButton="0" quotePrefix="0" xfId="0">
      <alignment horizontal="right" vertical="center"/>
    </xf>
    <xf numFmtId="4" fontId="8" fillId="14" borderId="1" applyAlignment="1" pivotButton="0" quotePrefix="0" xfId="0">
      <alignment horizontal="right" vertical="center"/>
    </xf>
    <xf numFmtId="4" fontId="8" fillId="15" borderId="1" applyAlignment="1" pivotButton="0" quotePrefix="0" xfId="0">
      <alignment horizontal="right" vertical="center"/>
    </xf>
    <xf numFmtId="4" fontId="8" fillId="16" borderId="1" applyAlignment="1" pivotButton="0" quotePrefix="0" xfId="0">
      <alignment horizontal="right" vertical="center"/>
    </xf>
    <xf numFmtId="4" fontId="8" fillId="17" borderId="1" applyAlignment="1" pivotButton="0" quotePrefix="0" xfId="0">
      <alignment horizontal="right" vertical="center"/>
    </xf>
    <xf numFmtId="4" fontId="8" fillId="18" borderId="1" applyAlignment="1" pivotButton="0" quotePrefix="0" xfId="0">
      <alignment horizontal="right" vertical="center"/>
    </xf>
    <xf numFmtId="4" fontId="8" fillId="19" borderId="1" applyAlignment="1" pivotButton="0" quotePrefix="0" xfId="0">
      <alignment horizontal="right" vertical="center"/>
    </xf>
    <xf numFmtId="4" fontId="8" fillId="20" borderId="1" applyAlignment="1" pivotButton="0" quotePrefix="0" xfId="0">
      <alignment horizontal="right" vertical="center"/>
    </xf>
    <xf numFmtId="4" fontId="8" fillId="21" borderId="1" applyAlignment="1" pivotButton="0" quotePrefix="0" xfId="0">
      <alignment horizontal="right" vertical="center"/>
    </xf>
    <xf numFmtId="4" fontId="8" fillId="22" borderId="1" applyAlignment="1" pivotButton="0" quotePrefix="0" xfId="0">
      <alignment horizontal="right" vertical="center"/>
    </xf>
    <xf numFmtId="4" fontId="8" fillId="23" borderId="1" applyAlignment="1" pivotButton="0" quotePrefix="0" xfId="0">
      <alignment horizontal="right" vertical="center"/>
    </xf>
    <xf numFmtId="4" fontId="8" fillId="24" borderId="1" applyAlignment="1" pivotButton="0" quotePrefix="0" xfId="0">
      <alignment horizontal="right" vertical="center"/>
    </xf>
    <xf numFmtId="4" fontId="8" fillId="25" borderId="1" applyAlignment="1" pivotButton="0" quotePrefix="0" xfId="0">
      <alignment horizontal="right" vertical="center"/>
    </xf>
    <xf numFmtId="4" fontId="8" fillId="26" borderId="1" applyAlignment="1" pivotButton="0" quotePrefix="0" xfId="0">
      <alignment horizontal="right" vertical="center"/>
    </xf>
    <xf numFmtId="4" fontId="8" fillId="27" borderId="1" applyAlignment="1" pivotButton="0" quotePrefix="0" xfId="0">
      <alignment horizontal="right" vertical="center"/>
    </xf>
    <xf numFmtId="4" fontId="8" fillId="28" borderId="1" applyAlignment="1" pivotButton="0" quotePrefix="0" xfId="0">
      <alignment horizontal="right" vertical="center"/>
    </xf>
    <xf numFmtId="4" fontId="8" fillId="29" borderId="1" applyAlignment="1" pivotButton="0" quotePrefix="0" xfId="0">
      <alignment horizontal="right" vertical="center"/>
    </xf>
    <xf numFmtId="4" fontId="8" fillId="30" borderId="1" applyAlignment="1" pivotButton="0" quotePrefix="0" xfId="0">
      <alignment horizontal="right" vertical="center"/>
    </xf>
    <xf numFmtId="4" fontId="8" fillId="31" borderId="1" applyAlignment="1" pivotButton="0" quotePrefix="0" xfId="0">
      <alignment horizontal="right" vertical="center"/>
    </xf>
    <xf numFmtId="4" fontId="8" fillId="32" borderId="1" applyAlignment="1" pivotButton="0" quotePrefix="0" xfId="0">
      <alignment horizontal="right" vertical="center"/>
    </xf>
    <xf numFmtId="4" fontId="8" fillId="33" borderId="1" applyAlignment="1" pivotButton="0" quotePrefix="0" xfId="0">
      <alignment horizontal="right" vertical="center"/>
    </xf>
    <xf numFmtId="4" fontId="8" fillId="34" borderId="1" applyAlignment="1" pivotButton="0" quotePrefix="0" xfId="0">
      <alignment horizontal="right" vertical="center"/>
    </xf>
    <xf numFmtId="4" fontId="8" fillId="35" borderId="1" applyAlignment="1" pivotButton="0" quotePrefix="0" xfId="0">
      <alignment horizontal="right" vertical="center"/>
    </xf>
    <xf numFmtId="4" fontId="8" fillId="36" borderId="1" applyAlignment="1" pivotButton="0" quotePrefix="0" xfId="0">
      <alignment horizontal="right" vertical="center"/>
    </xf>
    <xf numFmtId="4" fontId="8" fillId="37" borderId="1" applyAlignment="1" pivotButton="0" quotePrefix="0" xfId="0">
      <alignment horizontal="right" vertical="center"/>
    </xf>
    <xf numFmtId="4" fontId="8" fillId="38" borderId="1" applyAlignment="1" pivotButton="0" quotePrefix="0" xfId="0">
      <alignment horizontal="right" vertical="center"/>
    </xf>
    <xf numFmtId="165" fontId="14" fillId="5" borderId="1" applyAlignment="1" pivotButton="0" quotePrefix="0" xfId="0">
      <alignment horizontal="right" vertical="center"/>
    </xf>
    <xf numFmtId="165" fontId="15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0" customWidth="1" min="2" max="2"/>
  </cols>
  <sheetData>
    <row r="1" ht="40" customHeight="1"/>
    <row r="2">
      <c r="B2" s="1" t="inlineStr">
        <is>
          <t>宁波怡丰汇商业项目</t>
        </is>
      </c>
    </row>
    <row r="3"/>
    <row r="4">
      <c r="B4" s="2" t="inlineStr">
        <is>
          <t>工程经济学 2025 Case Study  –  投资分析报告</t>
        </is>
      </c>
    </row>
    <row r="6">
      <c r="B6" s="3" t="inlineStr">
        <is>
          <t>本工作簿包含以下内容：</t>
        </is>
      </c>
    </row>
    <row r="8">
      <c r="B8" s="4" t="inlineStr">
        <is>
          <t xml:space="preserve">  Step 1：现金流模型（年度）（见"年度现金流"工作表）</t>
        </is>
      </c>
    </row>
    <row r="9">
      <c r="B9" s="4" t="inlineStr">
        <is>
          <t xml:space="preserve">  Step 1+：季度现金流（2026年）（见"季度现金流"工作表）</t>
        </is>
      </c>
    </row>
    <row r="10">
      <c r="B10" s="4" t="inlineStr">
        <is>
          <t xml:space="preserve">  Step 2：收购价格估算（见"收购价格"工作表）</t>
        </is>
      </c>
    </row>
    <row r="11">
      <c r="B11" s="4" t="inlineStr">
        <is>
          <t xml:space="preserve">  Step 3：敏感性分析（见"敏感性分析"工作表）</t>
        </is>
      </c>
    </row>
    <row r="12">
      <c r="B12" s="4" t="inlineStr">
        <is>
          <t xml:space="preserve">  附录：主要参数汇总（见"主要假设"工作表）</t>
        </is>
      </c>
    </row>
  </sheetData>
  <mergeCells count="2">
    <mergeCell ref="B4"/>
    <mergeCell ref="B2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65"/>
  <sheetViews>
    <sheetView showGridLines="0" workbookViewId="0">
      <selection activeCell="A1" sqref="A1"/>
    </sheetView>
  </sheetViews>
  <sheetFormatPr baseColWidth="8" defaultRowHeight="15"/>
  <cols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B1" s="5" t="inlineStr">
        <is>
          <t>宁波怡丰汇商业项目 – 主要参数汇总</t>
        </is>
      </c>
      <c r="C1" s="6" t="n"/>
      <c r="D1" s="6" t="n"/>
      <c r="E1" s="6" t="n"/>
      <c r="F1" s="6" t="n"/>
      <c r="G1" s="6" t="n"/>
      <c r="H1" s="6" t="n"/>
    </row>
    <row r="2">
      <c r="B2" s="6" t="n"/>
      <c r="C2" s="6" t="n"/>
      <c r="D2" s="6" t="n"/>
      <c r="E2" s="6" t="n"/>
      <c r="F2" s="6" t="n"/>
      <c r="G2" s="6" t="n"/>
      <c r="H2" s="6" t="n"/>
    </row>
    <row r="3">
      <c r="B3" s="7" t="inlineStr">
        <is>
          <t>1. 项目面积（平方米）</t>
        </is>
      </c>
      <c r="C3" s="6" t="n"/>
      <c r="D3" s="6" t="n"/>
      <c r="E3" s="6" t="n"/>
      <c r="F3" s="6" t="n"/>
      <c r="G3" s="6" t="n"/>
      <c r="H3" s="6" t="n"/>
    </row>
    <row r="4">
      <c r="B4" s="8" t="inlineStr">
        <is>
          <t>楼层</t>
        </is>
      </c>
      <c r="C4" s="8" t="inlineStr">
        <is>
          <t>建筑面积</t>
        </is>
      </c>
      <c r="D4" s="8" t="inlineStr">
        <is>
          <t>产权面积</t>
        </is>
      </c>
      <c r="E4" s="8" t="inlineStr">
        <is>
          <t>可租面积</t>
        </is>
      </c>
      <c r="F4" s="8" t="inlineStr">
        <is>
          <t>产权车位</t>
        </is>
      </c>
      <c r="G4" s="8" t="inlineStr">
        <is>
          <t>无产权车位</t>
        </is>
      </c>
      <c r="H4" s="6" t="n"/>
    </row>
    <row r="5">
      <c r="B5" s="9" t="inlineStr">
        <is>
          <t>6</t>
        </is>
      </c>
      <c r="C5" s="10" t="n">
        <v>1021.56</v>
      </c>
      <c r="D5" s="10" t="n">
        <v>1021.56</v>
      </c>
      <c r="E5" s="10" t="n">
        <v>141.7</v>
      </c>
      <c r="F5" s="10" t="n">
        <v>0</v>
      </c>
      <c r="G5" s="10" t="n">
        <v>186</v>
      </c>
      <c r="H5" s="6" t="n"/>
    </row>
    <row r="6">
      <c r="B6" s="9" t="inlineStr">
        <is>
          <t>5</t>
        </is>
      </c>
      <c r="C6" s="10" t="n">
        <v>7855.27</v>
      </c>
      <c r="D6" s="10" t="n">
        <v>7855.27</v>
      </c>
      <c r="E6" s="10" t="n">
        <v>391.45</v>
      </c>
      <c r="F6" s="10" t="n">
        <v>148</v>
      </c>
      <c r="G6" s="10" t="n">
        <v>72</v>
      </c>
      <c r="H6" s="6" t="n"/>
    </row>
    <row r="7">
      <c r="B7" s="9" t="inlineStr">
        <is>
          <t>4</t>
        </is>
      </c>
      <c r="C7" s="10" t="n">
        <v>11560.31</v>
      </c>
      <c r="D7" s="10" t="n">
        <v>11560.31</v>
      </c>
      <c r="E7" s="10" t="n">
        <v>10535.92</v>
      </c>
      <c r="F7" s="10" t="n">
        <v>0</v>
      </c>
      <c r="G7" s="10" t="n">
        <v>0</v>
      </c>
      <c r="H7" s="6" t="n"/>
    </row>
    <row r="8">
      <c r="B8" s="9" t="inlineStr">
        <is>
          <t>3</t>
        </is>
      </c>
      <c r="C8" s="10" t="n">
        <v>14291.8</v>
      </c>
      <c r="D8" s="10" t="n">
        <v>14076.81</v>
      </c>
      <c r="E8" s="10" t="n">
        <v>13052.43</v>
      </c>
      <c r="F8" s="10" t="n">
        <v>0</v>
      </c>
      <c r="G8" s="10" t="n">
        <v>0</v>
      </c>
      <c r="H8" s="6" t="n"/>
    </row>
    <row r="9">
      <c r="B9" s="9" t="inlineStr">
        <is>
          <t>2</t>
        </is>
      </c>
      <c r="C9" s="10" t="n">
        <v>14237.26</v>
      </c>
      <c r="D9" s="10" t="n">
        <v>14237.26</v>
      </c>
      <c r="E9" s="10" t="n">
        <v>13212.02</v>
      </c>
      <c r="F9" s="10" t="n">
        <v>0</v>
      </c>
      <c r="G9" s="10" t="n">
        <v>0</v>
      </c>
      <c r="H9" s="6" t="n"/>
    </row>
    <row r="10">
      <c r="B10" s="9" t="inlineStr">
        <is>
          <t>1</t>
        </is>
      </c>
      <c r="C10" s="10" t="n">
        <v>14876.55</v>
      </c>
      <c r="D10" s="10" t="n">
        <v>14331.43</v>
      </c>
      <c r="E10" s="10" t="n">
        <v>13128.34</v>
      </c>
      <c r="F10" s="10" t="n">
        <v>0</v>
      </c>
      <c r="G10" s="10" t="n">
        <v>38</v>
      </c>
      <c r="H10" s="6" t="n"/>
    </row>
    <row r="11">
      <c r="B11" s="9" t="inlineStr">
        <is>
          <t>B1</t>
        </is>
      </c>
      <c r="C11" s="10" t="n">
        <v>43196.38</v>
      </c>
      <c r="D11" s="10" t="n">
        <v>11751.42</v>
      </c>
      <c r="E11" s="10" t="n">
        <v>11751.42</v>
      </c>
      <c r="F11" s="10" t="n">
        <v>0</v>
      </c>
      <c r="G11" s="10" t="n">
        <v>69</v>
      </c>
      <c r="H11" s="6" t="n"/>
    </row>
    <row r="12">
      <c r="B12" s="9" t="inlineStr">
        <is>
          <t>B2</t>
        </is>
      </c>
      <c r="C12" s="10" t="n">
        <v>0</v>
      </c>
      <c r="D12" s="10" t="n">
        <v>2174.06</v>
      </c>
      <c r="E12" s="10" t="n">
        <v>416.48</v>
      </c>
      <c r="F12" s="10" t="n">
        <v>134</v>
      </c>
      <c r="G12" s="10" t="n">
        <v>358</v>
      </c>
      <c r="H12" s="6" t="n"/>
    </row>
    <row r="13">
      <c r="B13" s="11" t="inlineStr">
        <is>
          <t>合计</t>
        </is>
      </c>
      <c r="C13" s="12" t="n">
        <v>107039.13</v>
      </c>
      <c r="D13" s="12" t="n">
        <v>77008.12</v>
      </c>
      <c r="E13" s="12" t="n">
        <v>62629.76</v>
      </c>
      <c r="F13" s="12" t="n">
        <v>282</v>
      </c>
      <c r="G13" s="12" t="n">
        <v>723</v>
      </c>
      <c r="H13" s="6" t="n"/>
    </row>
    <row r="14">
      <c r="B14" s="6" t="n"/>
      <c r="C14" s="6" t="n"/>
      <c r="D14" s="6" t="n"/>
      <c r="E14" s="6" t="n"/>
      <c r="F14" s="6" t="n"/>
      <c r="G14" s="6" t="n"/>
      <c r="H14" s="6" t="n"/>
    </row>
    <row r="15">
      <c r="B15" s="7" t="inlineStr">
        <is>
          <t>2. 租金假设（首年平均日租金，元/天/平方米）</t>
        </is>
      </c>
      <c r="C15" s="6" t="n"/>
      <c r="D15" s="6" t="n"/>
      <c r="E15" s="6" t="n"/>
      <c r="F15" s="6" t="n"/>
      <c r="G15" s="6" t="n"/>
      <c r="H15" s="6" t="n"/>
    </row>
    <row r="16">
      <c r="B16" s="9" t="inlineStr">
        <is>
          <t>6层</t>
        </is>
      </c>
      <c r="C16" s="13" t="n">
        <v>1.5</v>
      </c>
      <c r="D16" s="6" t="n"/>
      <c r="E16" s="6" t="n"/>
      <c r="F16" s="6" t="n"/>
      <c r="G16" s="6" t="n"/>
      <c r="H16" s="6" t="n"/>
    </row>
    <row r="17">
      <c r="B17" s="9" t="inlineStr">
        <is>
          <t>5层</t>
        </is>
      </c>
      <c r="C17" s="13" t="n">
        <v>1.5</v>
      </c>
      <c r="D17" s="6" t="n"/>
      <c r="E17" s="6" t="n"/>
      <c r="F17" s="6" t="n"/>
      <c r="G17" s="6" t="n"/>
      <c r="H17" s="6" t="n"/>
    </row>
    <row r="18">
      <c r="B18" s="9" t="inlineStr">
        <is>
          <t>4层</t>
        </is>
      </c>
      <c r="C18" s="13" t="n">
        <v>2.5</v>
      </c>
      <c r="D18" s="6" t="n"/>
      <c r="E18" s="6" t="n"/>
      <c r="F18" s="6" t="n"/>
      <c r="G18" s="6" t="n"/>
      <c r="H18" s="6" t="n"/>
    </row>
    <row r="19">
      <c r="B19" s="9" t="inlineStr">
        <is>
          <t>3层</t>
        </is>
      </c>
      <c r="C19" s="13" t="n">
        <v>2.5</v>
      </c>
      <c r="D19" s="6" t="n"/>
      <c r="E19" s="6" t="n"/>
      <c r="F19" s="6" t="n"/>
      <c r="G19" s="6" t="n"/>
      <c r="H19" s="6" t="n"/>
    </row>
    <row r="20">
      <c r="B20" s="9" t="inlineStr">
        <is>
          <t>2层</t>
        </is>
      </c>
      <c r="C20" s="13" t="n">
        <v>2.5</v>
      </c>
      <c r="D20" s="6" t="n"/>
      <c r="E20" s="6" t="n"/>
      <c r="F20" s="6" t="n"/>
      <c r="G20" s="6" t="n"/>
      <c r="H20" s="6" t="n"/>
    </row>
    <row r="21">
      <c r="B21" s="9" t="inlineStr">
        <is>
          <t>1层</t>
        </is>
      </c>
      <c r="C21" s="13" t="n">
        <v>3</v>
      </c>
      <c r="D21" s="6" t="n"/>
      <c r="E21" s="6" t="n"/>
      <c r="F21" s="6" t="n"/>
      <c r="G21" s="6" t="n"/>
      <c r="H21" s="6" t="n"/>
    </row>
    <row r="22">
      <c r="B22" s="9" t="inlineStr">
        <is>
          <t>B1层</t>
        </is>
      </c>
      <c r="C22" s="13" t="n">
        <v>2</v>
      </c>
      <c r="D22" s="6" t="n"/>
      <c r="E22" s="6" t="n"/>
      <c r="F22" s="6" t="n"/>
      <c r="G22" s="6" t="n"/>
      <c r="H22" s="6" t="n"/>
    </row>
    <row r="23">
      <c r="B23" s="9" t="inlineStr">
        <is>
          <t>B2层</t>
        </is>
      </c>
      <c r="C23" s="13" t="n">
        <v>1</v>
      </c>
      <c r="D23" s="6" t="n"/>
      <c r="E23" s="6" t="n"/>
      <c r="F23" s="6" t="n"/>
      <c r="G23" s="6" t="n"/>
      <c r="H23" s="6" t="n"/>
    </row>
    <row r="24">
      <c r="B24" s="6" t="n"/>
      <c r="C24" s="6" t="n"/>
      <c r="D24" s="6" t="n"/>
      <c r="E24" s="6" t="n"/>
      <c r="F24" s="6" t="n"/>
      <c r="G24" s="6" t="n"/>
      <c r="H24" s="6" t="n"/>
    </row>
    <row r="25">
      <c r="B25" s="7" t="inlineStr">
        <is>
          <t>3. 租赁参数</t>
        </is>
      </c>
      <c r="C25" s="6" t="n"/>
      <c r="D25" s="6" t="n"/>
      <c r="E25" s="6" t="n"/>
      <c r="F25" s="6" t="n"/>
      <c r="G25" s="6" t="n"/>
      <c r="H25" s="6" t="n"/>
    </row>
    <row r="26">
      <c r="B26" s="8" t="inlineStr">
        <is>
          <t>年份</t>
        </is>
      </c>
      <c r="C26" s="8" t="inlineStr">
        <is>
          <t>出租率</t>
        </is>
      </c>
      <c r="D26" s="8" t="inlineStr">
        <is>
          <t>租金增长率（vs上年）</t>
        </is>
      </c>
      <c r="E26" s="8" t="inlineStr">
        <is>
          <t>租金收取天数</t>
        </is>
      </c>
      <c r="F26" s="8" t="inlineStr">
        <is>
          <t>运营天数</t>
        </is>
      </c>
      <c r="G26" s="6" t="n"/>
      <c r="H26" s="6" t="n"/>
    </row>
    <row r="27">
      <c r="B27" s="9" t="inlineStr">
        <is>
          <t>2026</t>
        </is>
      </c>
      <c r="C27" s="14" t="n">
        <v>0.8</v>
      </c>
      <c r="D27" s="14" t="n">
        <v>0</v>
      </c>
      <c r="E27" s="10" t="n">
        <v>184</v>
      </c>
      <c r="F27" s="10" t="n">
        <v>275</v>
      </c>
      <c r="G27" s="6" t="n"/>
      <c r="H27" s="6" t="n"/>
    </row>
    <row r="28">
      <c r="B28" s="9" t="inlineStr">
        <is>
          <t>2027</t>
        </is>
      </c>
      <c r="C28" s="14" t="n">
        <v>0.95</v>
      </c>
      <c r="D28" s="14" t="n">
        <v>0</v>
      </c>
      <c r="E28" s="10" t="n">
        <v>365</v>
      </c>
      <c r="F28" s="10" t="n">
        <v>365</v>
      </c>
      <c r="G28" s="6" t="n"/>
      <c r="H28" s="6" t="n"/>
    </row>
    <row r="29">
      <c r="B29" s="9" t="inlineStr">
        <is>
          <t>2028</t>
        </is>
      </c>
      <c r="C29" s="14" t="n">
        <v>0.95</v>
      </c>
      <c r="D29" s="14" t="n">
        <v>0</v>
      </c>
      <c r="E29" s="10" t="n">
        <v>365</v>
      </c>
      <c r="F29" s="10" t="n">
        <v>365</v>
      </c>
      <c r="G29" s="6" t="n"/>
      <c r="H29" s="6" t="n"/>
    </row>
    <row r="30">
      <c r="B30" s="9" t="inlineStr">
        <is>
          <t>2029</t>
        </is>
      </c>
      <c r="C30" s="14" t="n">
        <v>0.95</v>
      </c>
      <c r="D30" s="14" t="n">
        <v>0.03</v>
      </c>
      <c r="E30" s="10" t="n">
        <v>365</v>
      </c>
      <c r="F30" s="10" t="n">
        <v>365</v>
      </c>
      <c r="G30" s="6" t="n"/>
      <c r="H30" s="6" t="n"/>
    </row>
    <row r="31">
      <c r="B31" s="6" t="n"/>
      <c r="C31" s="6" t="n"/>
      <c r="D31" s="6" t="n"/>
      <c r="E31" s="6" t="n"/>
      <c r="F31" s="6" t="n"/>
      <c r="G31" s="6" t="n"/>
      <c r="H31" s="6" t="n"/>
    </row>
    <row r="32">
      <c r="B32" s="7" t="inlineStr">
        <is>
          <t>4. 停车费假设</t>
        </is>
      </c>
      <c r="C32" s="6" t="n"/>
      <c r="D32" s="6" t="n"/>
      <c r="E32" s="6" t="n"/>
      <c r="F32" s="6" t="n"/>
      <c r="G32" s="6" t="n"/>
      <c r="H32" s="6" t="n"/>
    </row>
    <row r="33">
      <c r="B33" s="8" t="inlineStr">
        <is>
          <t>年份</t>
        </is>
      </c>
      <c r="C33" s="8" t="inlineStr">
        <is>
          <t>时费（元/时/位）</t>
        </is>
      </c>
      <c r="D33" s="8" t="inlineStr">
        <is>
          <t>日均停车时长（时）</t>
        </is>
      </c>
      <c r="E33" s="8" t="inlineStr">
        <is>
          <t>车位使用率</t>
        </is>
      </c>
      <c r="F33" s="6" t="n"/>
      <c r="G33" s="6" t="n"/>
      <c r="H33" s="6" t="n"/>
    </row>
    <row r="34">
      <c r="B34" s="9" t="inlineStr">
        <is>
          <t>2026</t>
        </is>
      </c>
      <c r="C34" s="15" t="n">
        <v>3</v>
      </c>
      <c r="D34" s="15" t="n">
        <v>6</v>
      </c>
      <c r="E34" s="14" t="n">
        <v>0.5</v>
      </c>
      <c r="F34" s="6" t="n"/>
      <c r="G34" s="6" t="n"/>
      <c r="H34" s="6" t="n"/>
    </row>
    <row r="35">
      <c r="B35" s="9" t="inlineStr">
        <is>
          <t>2027</t>
        </is>
      </c>
      <c r="C35" s="15" t="n">
        <v>3</v>
      </c>
      <c r="D35" s="15" t="n">
        <v>6</v>
      </c>
      <c r="E35" s="14" t="n">
        <v>0.6</v>
      </c>
      <c r="F35" s="6" t="n"/>
      <c r="G35" s="6" t="n"/>
      <c r="H35" s="6" t="n"/>
    </row>
    <row r="36">
      <c r="B36" s="9" t="inlineStr">
        <is>
          <t>2028</t>
        </is>
      </c>
      <c r="C36" s="15" t="n">
        <v>3</v>
      </c>
      <c r="D36" s="15" t="n">
        <v>6</v>
      </c>
      <c r="E36" s="14" t="n">
        <v>0.7</v>
      </c>
      <c r="F36" s="6" t="n"/>
      <c r="G36" s="6" t="n"/>
      <c r="H36" s="6" t="n"/>
    </row>
    <row r="37">
      <c r="B37" s="9" t="inlineStr">
        <is>
          <t>2029</t>
        </is>
      </c>
      <c r="C37" s="15" t="n">
        <v>3</v>
      </c>
      <c r="D37" s="15" t="n">
        <v>6</v>
      </c>
      <c r="E37" s="14" t="n">
        <v>0.8</v>
      </c>
      <c r="F37" s="6" t="n"/>
      <c r="G37" s="6" t="n"/>
      <c r="H37" s="6" t="n"/>
    </row>
    <row r="38">
      <c r="B38" s="6" t="n"/>
      <c r="C38" s="6" t="n"/>
      <c r="D38" s="6" t="n"/>
      <c r="E38" s="6" t="n"/>
      <c r="F38" s="6" t="n"/>
      <c r="G38" s="6" t="n"/>
      <c r="H38" s="6" t="n"/>
    </row>
    <row r="39">
      <c r="B39" s="7" t="inlineStr">
        <is>
          <t>5. 运营成本假设（首年全年基准，元）</t>
        </is>
      </c>
      <c r="C39" s="6" t="n"/>
      <c r="D39" s="6" t="n"/>
      <c r="E39" s="6" t="n"/>
      <c r="F39" s="6" t="n"/>
      <c r="G39" s="6" t="n"/>
      <c r="H39" s="6" t="n"/>
    </row>
    <row r="40">
      <c r="B40" s="16" t="inlineStr">
        <is>
          <t>人事费用</t>
        </is>
      </c>
      <c r="C40" s="10" t="n">
        <v>5000000</v>
      </c>
      <c r="D40" s="16" t="inlineStr">
        <is>
          <t>元/年</t>
        </is>
      </c>
      <c r="E40" s="6" t="n"/>
      <c r="F40" s="6" t="n"/>
      <c r="G40" s="6" t="n"/>
      <c r="H40" s="6" t="n"/>
    </row>
    <row r="41">
      <c r="B41" s="16" t="inlineStr">
        <is>
          <t>市场推广费</t>
        </is>
      </c>
      <c r="C41" s="10" t="n">
        <v>5000000</v>
      </c>
      <c r="D41" s="16" t="inlineStr">
        <is>
          <t>元/年</t>
        </is>
      </c>
      <c r="E41" s="6" t="n"/>
      <c r="F41" s="6" t="n"/>
      <c r="G41" s="6" t="n"/>
      <c r="H41" s="6" t="n"/>
    </row>
    <row r="42">
      <c r="B42" s="16" t="inlineStr">
        <is>
          <t>维保维修（基本）</t>
        </is>
      </c>
      <c r="C42" s="10" t="n">
        <v>15</v>
      </c>
      <c r="D42" s="16" t="inlineStr">
        <is>
          <t>元/㎡(GFA)/年</t>
        </is>
      </c>
      <c r="E42" s="6" t="n"/>
      <c r="F42" s="6" t="n"/>
      <c r="G42" s="6" t="n"/>
      <c r="H42" s="6" t="n"/>
    </row>
    <row r="43">
      <c r="B43" s="16" t="inlineStr">
        <is>
          <t>资本性改造</t>
        </is>
      </c>
      <c r="C43" s="17" t="inlineStr">
        <is>
          <t>2.5%</t>
        </is>
      </c>
      <c r="D43" s="16" t="inlineStr">
        <is>
          <t>×租金收入</t>
        </is>
      </c>
      <c r="E43" s="6" t="n"/>
      <c r="F43" s="6" t="n"/>
      <c r="G43" s="6" t="n"/>
      <c r="H43" s="6" t="n"/>
    </row>
    <row r="44">
      <c r="B44" s="16" t="inlineStr">
        <is>
          <t>物业管理费</t>
        </is>
      </c>
      <c r="C44" s="10" t="n">
        <v>30</v>
      </c>
      <c r="D44" s="16" t="inlineStr">
        <is>
          <t>元/㎡(GFA)/年</t>
        </is>
      </c>
      <c r="E44" s="6" t="n"/>
      <c r="F44" s="6" t="n"/>
      <c r="G44" s="6" t="n"/>
      <c r="H44" s="6" t="n"/>
    </row>
    <row r="45">
      <c r="B45" s="16" t="inlineStr">
        <is>
          <t>能耗费用</t>
        </is>
      </c>
      <c r="C45" s="10" t="n">
        <v>40</v>
      </c>
      <c r="D45" s="16" t="inlineStr">
        <is>
          <t>元/㎡(GFA)/年</t>
        </is>
      </c>
      <c r="E45" s="6" t="n"/>
      <c r="F45" s="6" t="n"/>
      <c r="G45" s="6" t="n"/>
      <c r="H45" s="6" t="n"/>
    </row>
    <row r="46">
      <c r="B46" s="16" t="inlineStr">
        <is>
          <t>行政费用</t>
        </is>
      </c>
      <c r="C46" s="10" t="n">
        <v>500000</v>
      </c>
      <c r="D46" s="16" t="inlineStr">
        <is>
          <t>元/年</t>
        </is>
      </c>
      <c r="E46" s="6" t="n"/>
      <c r="F46" s="6" t="n"/>
      <c r="G46" s="6" t="n"/>
      <c r="H46" s="6" t="n"/>
    </row>
    <row r="47">
      <c r="B47" s="6" t="n"/>
      <c r="C47" s="6" t="n"/>
      <c r="D47" s="6" t="n"/>
      <c r="E47" s="6" t="n"/>
      <c r="F47" s="6" t="n"/>
      <c r="G47" s="6" t="n"/>
      <c r="H47" s="6" t="n"/>
    </row>
    <row r="48">
      <c r="B48" s="7" t="inlineStr">
        <is>
          <t>6. 费用增长率（相对上一年）</t>
        </is>
      </c>
      <c r="C48" s="6" t="n"/>
      <c r="D48" s="6" t="n"/>
      <c r="E48" s="6" t="n"/>
      <c r="F48" s="6" t="n"/>
      <c r="G48" s="6" t="n"/>
      <c r="H48" s="6" t="n"/>
    </row>
    <row r="49">
      <c r="B49" s="8" t="inlineStr">
        <is>
          <t>费项</t>
        </is>
      </c>
      <c r="C49" s="8" t="inlineStr">
        <is>
          <t>2026</t>
        </is>
      </c>
      <c r="D49" s="8" t="inlineStr">
        <is>
          <t>2027</t>
        </is>
      </c>
      <c r="E49" s="8" t="inlineStr">
        <is>
          <t>2028</t>
        </is>
      </c>
      <c r="F49" s="8" t="inlineStr">
        <is>
          <t>2029</t>
        </is>
      </c>
      <c r="G49" s="6" t="n"/>
      <c r="H49" s="6" t="n"/>
    </row>
    <row r="50">
      <c r="B50" s="16" t="inlineStr">
        <is>
          <t>人事费用</t>
        </is>
      </c>
      <c r="C50" s="14" t="n">
        <v>0</v>
      </c>
      <c r="D50" s="14" t="n">
        <v>0</v>
      </c>
      <c r="E50" s="14" t="n">
        <v>0.03</v>
      </c>
      <c r="F50" s="14" t="n">
        <v>0</v>
      </c>
      <c r="G50" s="6" t="n"/>
      <c r="H50" s="6" t="n"/>
    </row>
    <row r="51">
      <c r="B51" s="16" t="inlineStr">
        <is>
          <t>市场推广费</t>
        </is>
      </c>
      <c r="C51" s="14" t="n">
        <v>0</v>
      </c>
      <c r="D51" s="14" t="n">
        <v>-0.05</v>
      </c>
      <c r="E51" s="14" t="n">
        <v>-0.05</v>
      </c>
      <c r="F51" s="14" t="n">
        <v>-0.05</v>
      </c>
      <c r="G51" s="6" t="n"/>
      <c r="H51" s="6" t="n"/>
    </row>
    <row r="52">
      <c r="B52" s="16" t="inlineStr">
        <is>
          <t>维保维修</t>
        </is>
      </c>
      <c r="C52" s="14" t="n">
        <v>0</v>
      </c>
      <c r="D52" s="14" t="n">
        <v>0.03</v>
      </c>
      <c r="E52" s="14" t="n">
        <v>0.03</v>
      </c>
      <c r="F52" s="14" t="n">
        <v>0.03</v>
      </c>
      <c r="G52" s="6" t="n"/>
      <c r="H52" s="6" t="n"/>
    </row>
    <row r="53">
      <c r="B53" s="16" t="inlineStr">
        <is>
          <t>物业管理</t>
        </is>
      </c>
      <c r="C53" s="14" t="n">
        <v>0</v>
      </c>
      <c r="D53" s="14" t="n">
        <v>0.03</v>
      </c>
      <c r="E53" s="14" t="n">
        <v>0.03</v>
      </c>
      <c r="F53" s="14" t="n">
        <v>0.03</v>
      </c>
      <c r="G53" s="6" t="n"/>
      <c r="H53" s="6" t="n"/>
    </row>
    <row r="54">
      <c r="B54" s="16" t="inlineStr">
        <is>
          <t>能耗费用</t>
        </is>
      </c>
      <c r="C54" s="14" t="n">
        <v>0</v>
      </c>
      <c r="D54" s="14" t="n">
        <v>0.01</v>
      </c>
      <c r="E54" s="14" t="n">
        <v>0.01</v>
      </c>
      <c r="F54" s="14" t="n">
        <v>0.01</v>
      </c>
      <c r="G54" s="6" t="n"/>
      <c r="H54" s="6" t="n"/>
    </row>
    <row r="55">
      <c r="B55" s="16" t="inlineStr">
        <is>
          <t>行政费用</t>
        </is>
      </c>
      <c r="C55" s="14" t="n">
        <v>0</v>
      </c>
      <c r="D55" s="14" t="n">
        <v>0.03</v>
      </c>
      <c r="E55" s="14" t="n">
        <v>0.03</v>
      </c>
      <c r="F55" s="14" t="n">
        <v>0.03</v>
      </c>
      <c r="G55" s="6" t="n"/>
      <c r="H55" s="6" t="n"/>
    </row>
    <row r="56">
      <c r="B56" s="6" t="n"/>
      <c r="C56" s="6" t="n"/>
      <c r="D56" s="6" t="n"/>
      <c r="E56" s="6" t="n"/>
      <c r="F56" s="6" t="n"/>
      <c r="G56" s="6" t="n"/>
      <c r="H56" s="6" t="n"/>
    </row>
    <row r="57">
      <c r="B57" s="7" t="inlineStr">
        <is>
          <t>7. 财务参数</t>
        </is>
      </c>
      <c r="C57" s="6" t="n"/>
      <c r="D57" s="6" t="n"/>
      <c r="E57" s="6" t="n"/>
      <c r="F57" s="6" t="n"/>
      <c r="G57" s="6" t="n"/>
      <c r="H57" s="6" t="n"/>
    </row>
    <row r="58">
      <c r="B58" s="16" t="inlineStr">
        <is>
          <t>交易契税税率</t>
        </is>
      </c>
      <c r="C58" s="14" t="n">
        <v>0.03</v>
      </c>
      <c r="D58" s="16" t="inlineStr">
        <is>
          <t>3%</t>
        </is>
      </c>
      <c r="E58" s="6" t="n"/>
      <c r="F58" s="6" t="n"/>
      <c r="G58" s="6" t="n"/>
      <c r="H58" s="6" t="n"/>
    </row>
    <row r="59">
      <c r="B59" s="16" t="inlineStr">
        <is>
          <t>其他交易费用</t>
        </is>
      </c>
      <c r="C59" s="10" t="n">
        <v>11000000</v>
      </c>
      <c r="D59" s="16" t="inlineStr">
        <is>
          <t>元</t>
        </is>
      </c>
      <c r="E59" s="6" t="n"/>
      <c r="F59" s="6" t="n"/>
      <c r="G59" s="6" t="n"/>
      <c r="H59" s="6" t="n"/>
    </row>
    <row r="60">
      <c r="B60" s="16" t="inlineStr">
        <is>
          <t>商场开业成本</t>
        </is>
      </c>
      <c r="C60" s="10" t="n">
        <v>10000000</v>
      </c>
      <c r="D60" s="16" t="inlineStr">
        <is>
          <t>元</t>
        </is>
      </c>
      <c r="E60" s="6" t="n"/>
      <c r="F60" s="6" t="n"/>
      <c r="G60" s="6" t="n"/>
      <c r="H60" s="6" t="n"/>
    </row>
    <row r="61">
      <c r="B61" s="16" t="inlineStr">
        <is>
          <t>企业所得税税率</t>
        </is>
      </c>
      <c r="C61" s="14" t="n">
        <v>0.25</v>
      </c>
      <c r="D61" s="16" t="inlineStr">
        <is>
          <t>25%</t>
        </is>
      </c>
      <c r="E61" s="6" t="n"/>
      <c r="F61" s="6" t="n"/>
      <c r="G61" s="6" t="n"/>
      <c r="H61" s="6" t="n"/>
    </row>
    <row r="62">
      <c r="B62" s="16" t="inlineStr">
        <is>
          <t>MARR（折现率）</t>
        </is>
      </c>
      <c r="C62" s="14" t="n">
        <v>0.12</v>
      </c>
      <c r="D62" s="16" t="inlineStr">
        <is>
          <t>12%</t>
        </is>
      </c>
      <c r="E62" s="6" t="n"/>
      <c r="F62" s="6" t="n"/>
      <c r="G62" s="6" t="n"/>
      <c r="H62" s="6" t="n"/>
    </row>
    <row r="63">
      <c r="B63" s="16" t="inlineStr">
        <is>
          <t>退出资本化率</t>
        </is>
      </c>
      <c r="C63" s="14" t="n">
        <v>0.08</v>
      </c>
      <c r="D63" s="16" t="inlineStr">
        <is>
          <t>8%</t>
        </is>
      </c>
      <c r="E63" s="6" t="n"/>
      <c r="F63" s="6" t="n"/>
      <c r="G63" s="6" t="n"/>
      <c r="H63" s="6" t="n"/>
    </row>
    <row r="64">
      <c r="B64" s="16" t="inlineStr">
        <is>
          <t>免租期</t>
        </is>
      </c>
      <c r="C64" s="10" t="n">
        <v>3</v>
      </c>
      <c r="D64" s="16" t="inlineStr">
        <is>
          <t>个月</t>
        </is>
      </c>
      <c r="E64" s="6" t="n"/>
      <c r="F64" s="6" t="n"/>
      <c r="G64" s="6" t="n"/>
      <c r="H64" s="6" t="n"/>
    </row>
    <row r="65">
      <c r="B65" s="6" t="n"/>
      <c r="C65" s="6" t="n"/>
      <c r="D65" s="6" t="n"/>
      <c r="E65" s="6" t="n"/>
      <c r="F65" s="6" t="n"/>
      <c r="G65" s="6" t="n"/>
      <c r="H65" s="6" t="n"/>
    </row>
  </sheetData>
  <mergeCells count="8">
    <mergeCell ref="B32:H32"/>
    <mergeCell ref="B1:H1"/>
    <mergeCell ref="B57:H57"/>
    <mergeCell ref="B39:H39"/>
    <mergeCell ref="B48:H48"/>
    <mergeCell ref="B15:H15"/>
    <mergeCell ref="B25:H25"/>
    <mergeCell ref="B3:H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5" t="inlineStr">
        <is>
          <t>Step 1：年度经营现金流模型（万元）</t>
        </is>
      </c>
      <c r="C1" s="6" t="n"/>
      <c r="D1" s="6" t="n"/>
      <c r="E1" s="6" t="n"/>
      <c r="F1" s="6" t="n"/>
      <c r="G1" s="6" t="n"/>
    </row>
    <row r="2">
      <c r="B2" s="18" t="inlineStr">
        <is>
          <t>注：期初（Period 0）= 2026年1月1日；2026年为9个月运营期；所有金额单位为万元。</t>
        </is>
      </c>
      <c r="C2" s="6" t="n"/>
      <c r="D2" s="6" t="n"/>
      <c r="E2" s="6" t="n"/>
      <c r="F2" s="6" t="n"/>
      <c r="G2" s="6" t="n"/>
    </row>
    <row r="3">
      <c r="B3" s="6" t="n"/>
      <c r="C3" s="6" t="n"/>
      <c r="D3" s="6" t="n"/>
      <c r="E3" s="6" t="n"/>
      <c r="F3" s="6" t="n"/>
      <c r="G3" s="6" t="n"/>
    </row>
    <row r="4" ht="36" customHeight="1">
      <c r="B4" s="19" t="inlineStr">
        <is>
          <t>项目</t>
        </is>
      </c>
      <c r="C4" s="19" t="inlineStr">
        <is>
          <t>2026年
（改造期）</t>
        </is>
      </c>
      <c r="D4" s="19" t="inlineStr">
        <is>
          <t>2027年
（稳定期）</t>
        </is>
      </c>
      <c r="E4" s="19" t="inlineStr">
        <is>
          <t>2028年
（稳定期）</t>
        </is>
      </c>
      <c r="F4" s="19" t="inlineStr">
        <is>
          <t>2029年
（稳定期+退出）</t>
        </is>
      </c>
      <c r="G4" s="19" t="inlineStr">
        <is>
          <t>备注</t>
        </is>
      </c>
    </row>
    <row r="5">
      <c r="B5" s="20" t="inlineStr">
        <is>
          <t>▶ 一、营业收入</t>
        </is>
      </c>
      <c r="C5" s="6" t="n"/>
      <c r="D5" s="6" t="n"/>
      <c r="E5" s="6" t="n"/>
      <c r="F5" s="6" t="n"/>
      <c r="G5" s="6" t="n"/>
    </row>
    <row r="6">
      <c r="B6" s="16" t="inlineStr">
        <is>
          <t xml:space="preserve">  租金收入</t>
        </is>
      </c>
      <c r="C6" s="21" t="n">
        <v>2297.865452800001</v>
      </c>
      <c r="D6" s="21" t="n">
        <v>5412.940528250001</v>
      </c>
      <c r="E6" s="21" t="n">
        <v>5412.940528250001</v>
      </c>
      <c r="F6" s="21" t="n">
        <v>5575.328744097501</v>
      </c>
      <c r="G6" s="6" t="n"/>
    </row>
    <row r="7">
      <c r="B7" s="16" t="inlineStr">
        <is>
          <t xml:space="preserve">  停车费收入</t>
        </is>
      </c>
      <c r="C7" s="21" t="n">
        <v>248.7375</v>
      </c>
      <c r="D7" s="21" t="n">
        <v>396.171</v>
      </c>
      <c r="E7" s="21" t="n">
        <v>462.1995</v>
      </c>
      <c r="F7" s="21" t="n">
        <v>528.228</v>
      </c>
      <c r="G7" s="6" t="n"/>
    </row>
    <row r="8">
      <c r="B8" s="16" t="inlineStr">
        <is>
          <t xml:space="preserve">  物业费收入</t>
        </is>
      </c>
      <c r="C8" s="21" t="n">
        <v>450.9342720000001</v>
      </c>
      <c r="D8" s="21" t="n">
        <v>713.9792639999999</v>
      </c>
      <c r="E8" s="21" t="n">
        <v>713.9792639999999</v>
      </c>
      <c r="F8" s="21" t="n">
        <v>713.9792639999999</v>
      </c>
      <c r="G8" s="6" t="n"/>
    </row>
    <row r="9">
      <c r="B9" s="22" t="inlineStr">
        <is>
          <t>营业收入合计</t>
        </is>
      </c>
      <c r="C9" s="23" t="n">
        <v>2997.5372248</v>
      </c>
      <c r="D9" s="23" t="n">
        <v>6523.090792250001</v>
      </c>
      <c r="E9" s="23" t="n">
        <v>6589.11929225</v>
      </c>
      <c r="F9" s="23" t="n">
        <v>6817.536008097502</v>
      </c>
      <c r="G9" s="6" t="n"/>
    </row>
    <row r="10">
      <c r="B10" s="24" t="inlineStr">
        <is>
          <t>▶ 二、运营成本</t>
        </is>
      </c>
      <c r="C10" s="6" t="n"/>
      <c r="D10" s="6" t="n"/>
      <c r="E10" s="6" t="n"/>
      <c r="F10" s="6" t="n"/>
      <c r="G10" s="6" t="n"/>
    </row>
    <row r="11">
      <c r="B11" s="16" t="inlineStr">
        <is>
          <t xml:space="preserve">  人事费用</t>
        </is>
      </c>
      <c r="C11" s="21" t="n">
        <v>375</v>
      </c>
      <c r="D11" s="21" t="n">
        <v>500</v>
      </c>
      <c r="E11" s="21" t="n">
        <v>515</v>
      </c>
      <c r="F11" s="21" t="n">
        <v>515</v>
      </c>
      <c r="G11" s="6" t="n"/>
    </row>
    <row r="12">
      <c r="B12" s="16" t="inlineStr">
        <is>
          <t xml:space="preserve">  市场推广费</t>
        </is>
      </c>
      <c r="C12" s="21" t="n">
        <v>375</v>
      </c>
      <c r="D12" s="21" t="n">
        <v>475</v>
      </c>
      <c r="E12" s="21" t="n">
        <v>451.25</v>
      </c>
      <c r="F12" s="21" t="n">
        <v>428.6875</v>
      </c>
      <c r="G12" s="6" t="n"/>
    </row>
    <row r="13">
      <c r="B13" s="16" t="inlineStr">
        <is>
          <t xml:space="preserve">  维保维修（基本）</t>
        </is>
      </c>
      <c r="C13" s="21" t="n">
        <v>120.41902125</v>
      </c>
      <c r="D13" s="21" t="n">
        <v>165.37545585</v>
      </c>
      <c r="E13" s="21" t="n">
        <v>170.3367195255</v>
      </c>
      <c r="F13" s="21" t="n">
        <v>175.446821111265</v>
      </c>
      <c r="G13" s="6" t="n"/>
    </row>
    <row r="14">
      <c r="B14" s="16" t="inlineStr">
        <is>
          <t xml:space="preserve">  资本性改造（占租金2.5%）</t>
        </is>
      </c>
      <c r="C14" s="21" t="n">
        <v>57.44663632000001</v>
      </c>
      <c r="D14" s="21" t="n">
        <v>135.32351320625</v>
      </c>
      <c r="E14" s="21" t="n">
        <v>135.32351320625</v>
      </c>
      <c r="F14" s="21" t="n">
        <v>139.3832186024375</v>
      </c>
      <c r="G14" s="6" t="n"/>
    </row>
    <row r="15">
      <c r="B15" s="16" t="inlineStr">
        <is>
          <t xml:space="preserve">  物业管理费</t>
        </is>
      </c>
      <c r="C15" s="21" t="n">
        <v>240.8380425</v>
      </c>
      <c r="D15" s="21" t="n">
        <v>330.7509117</v>
      </c>
      <c r="E15" s="21" t="n">
        <v>340.673439051</v>
      </c>
      <c r="F15" s="21" t="n">
        <v>350.89364222253</v>
      </c>
      <c r="G15" s="6" t="n"/>
    </row>
    <row r="16">
      <c r="B16" s="16" t="inlineStr">
        <is>
          <t xml:space="preserve">  能耗费用</t>
        </is>
      </c>
      <c r="C16" s="21" t="n">
        <v>321.1173899999999</v>
      </c>
      <c r="D16" s="21" t="n">
        <v>432.4380851999999</v>
      </c>
      <c r="E16" s="21" t="n">
        <v>436.7624660519999</v>
      </c>
      <c r="F16" s="21" t="n">
        <v>441.1300907125199</v>
      </c>
      <c r="G16" s="6" t="n"/>
    </row>
    <row r="17">
      <c r="B17" s="16" t="inlineStr">
        <is>
          <t xml:space="preserve">  行政费用</t>
        </is>
      </c>
      <c r="C17" s="21" t="n">
        <v>37.5</v>
      </c>
      <c r="D17" s="21" t="n">
        <v>51.5</v>
      </c>
      <c r="E17" s="21" t="n">
        <v>53.045</v>
      </c>
      <c r="F17" s="21" t="n">
        <v>54.63635</v>
      </c>
      <c r="G17" s="6" t="n"/>
    </row>
    <row r="18">
      <c r="B18" s="25" t="inlineStr">
        <is>
          <t>运营成本合计</t>
        </is>
      </c>
      <c r="C18" s="26" t="n">
        <v>1527.32109007</v>
      </c>
      <c r="D18" s="26" t="n">
        <v>2090.38796595625</v>
      </c>
      <c r="E18" s="26" t="n">
        <v>2102.39113783475</v>
      </c>
      <c r="F18" s="26" t="n">
        <v>2105.177622648752</v>
      </c>
      <c r="G18" s="6" t="n"/>
    </row>
    <row r="19">
      <c r="B19" s="27" t="inlineStr">
        <is>
          <t>▶ 三、营业利润与税</t>
        </is>
      </c>
      <c r="C19" s="6" t="n"/>
      <c r="D19" s="6" t="n"/>
      <c r="E19" s="6" t="n"/>
      <c r="F19" s="6" t="n"/>
      <c r="G19" s="6" t="n"/>
    </row>
    <row r="20">
      <c r="B20" s="28" t="inlineStr">
        <is>
          <t>营业利润（税前）</t>
        </is>
      </c>
      <c r="C20" s="29" t="n">
        <v>1470.216134730001</v>
      </c>
      <c r="D20" s="29" t="n">
        <v>4432.702826293751</v>
      </c>
      <c r="E20" s="29" t="n">
        <v>4486.72815441525</v>
      </c>
      <c r="F20" s="29" t="n">
        <v>4712.358385448749</v>
      </c>
      <c r="G20" s="6" t="n"/>
    </row>
    <row r="21">
      <c r="B21" s="16" t="inlineStr">
        <is>
          <t xml:space="preserve">  企业所得税（25%）</t>
        </is>
      </c>
      <c r="C21" s="21" t="n">
        <v>367.5540336825002</v>
      </c>
      <c r="D21" s="21" t="n">
        <v>1108.175706573438</v>
      </c>
      <c r="E21" s="21" t="n">
        <v>1121.682038603813</v>
      </c>
      <c r="F21" s="21" t="n">
        <v>1178.089596362187</v>
      </c>
      <c r="G21" s="6" t="n"/>
    </row>
    <row r="22">
      <c r="B22" s="30" t="inlineStr">
        <is>
          <t>税后经营净现金流</t>
        </is>
      </c>
      <c r="C22" s="31" t="n">
        <v>1102.6621010475</v>
      </c>
      <c r="D22" s="31" t="n">
        <v>3324.527119720313</v>
      </c>
      <c r="E22" s="31" t="n">
        <v>3365.046115811438</v>
      </c>
      <c r="F22" s="31" t="n">
        <v>3534.268789086562</v>
      </c>
      <c r="G22" s="6" t="n"/>
    </row>
    <row r="23">
      <c r="B23" s="8" t="inlineStr">
        <is>
          <t>▶ 四、退出价值（永续年金 i=8%）</t>
        </is>
      </c>
      <c r="C23" s="6" t="n"/>
      <c r="D23" s="6" t="n"/>
      <c r="E23" s="6" t="n"/>
      <c r="F23" s="6" t="n"/>
      <c r="G23" s="6" t="n"/>
    </row>
    <row r="24">
      <c r="B24" s="32" t="inlineStr">
        <is>
          <t>退出价值（不计税）</t>
        </is>
      </c>
      <c r="C24" s="33" t="n"/>
      <c r="D24" s="33" t="n"/>
      <c r="E24" s="33" t="n"/>
      <c r="F24" s="33" t="n">
        <v>44178.35986358202</v>
      </c>
      <c r="G24" s="6" t="n"/>
    </row>
    <row r="25">
      <c r="B25" s="20" t="inlineStr">
        <is>
          <t>▶ 五、年度总现金流</t>
        </is>
      </c>
      <c r="C25" s="6" t="n"/>
      <c r="D25" s="6" t="n"/>
      <c r="E25" s="6" t="n"/>
      <c r="F25" s="6" t="n"/>
      <c r="G25" s="6" t="n"/>
    </row>
    <row r="26">
      <c r="B26" s="22" t="inlineStr">
        <is>
          <t>年度总现金流（含退出）</t>
        </is>
      </c>
      <c r="C26" s="23" t="n">
        <v>1102.6621010475</v>
      </c>
      <c r="D26" s="23" t="n">
        <v>3324.527119720313</v>
      </c>
      <c r="E26" s="23" t="n">
        <v>3365.046115811438</v>
      </c>
      <c r="F26" s="23" t="n">
        <v>47712.62865266858</v>
      </c>
      <c r="G26" s="6" t="n"/>
    </row>
    <row r="27">
      <c r="B27" s="6" t="n"/>
      <c r="C27" s="6" t="n"/>
      <c r="D27" s="6" t="n"/>
      <c r="E27" s="6" t="n"/>
      <c r="F27" s="6" t="n"/>
      <c r="G27" s="6" t="n"/>
    </row>
    <row r="28">
      <c r="B28" s="34" t="inlineStr">
        <is>
          <t>关键运营指标</t>
        </is>
      </c>
      <c r="C28" s="6" t="n"/>
      <c r="D28" s="6" t="n"/>
      <c r="E28" s="6" t="n"/>
      <c r="F28" s="6" t="n"/>
      <c r="G28" s="6" t="n"/>
    </row>
    <row r="29">
      <c r="B29" s="16" t="inlineStr">
        <is>
          <t>出租率</t>
        </is>
      </c>
      <c r="C29" s="35" t="n">
        <v>8.000000000000001e-05</v>
      </c>
      <c r="D29" s="35" t="n">
        <v>9.499999999999999e-05</v>
      </c>
      <c r="E29" s="35" t="n">
        <v>9.499999999999999e-05</v>
      </c>
      <c r="F29" s="35" t="n">
        <v>9.499999999999999e-05</v>
      </c>
      <c r="G29" s="6" t="n"/>
    </row>
    <row r="30">
      <c r="B30" s="16" t="inlineStr">
        <is>
          <t>实际运营天数</t>
        </is>
      </c>
      <c r="C30" s="10" t="n">
        <v>0.0275</v>
      </c>
      <c r="D30" s="10" t="n">
        <v>0.0365</v>
      </c>
      <c r="E30" s="10" t="n">
        <v>0.0365</v>
      </c>
      <c r="F30" s="10" t="n">
        <v>0.0365</v>
      </c>
      <c r="G30" s="6" t="n"/>
    </row>
    <row r="31">
      <c r="B31" s="16" t="inlineStr">
        <is>
          <t>租金收入/收入合计</t>
        </is>
      </c>
      <c r="C31" s="35" t="n">
        <v>7.66584459331716e-05</v>
      </c>
      <c r="D31" s="35" t="n">
        <v>8.298122317538559e-05</v>
      </c>
      <c r="E31" s="35" t="n">
        <v>8.214968174300016e-05</v>
      </c>
      <c r="F31" s="35" t="n">
        <v>8.177923427871046e-05</v>
      </c>
      <c r="G31" s="6" t="n"/>
    </row>
    <row r="32">
      <c r="B32" s="16" t="inlineStr">
        <is>
          <t>税前净利润率</t>
        </is>
      </c>
      <c r="C32" s="35" t="n">
        <v>4.904746878758429e-05</v>
      </c>
      <c r="D32" s="35" t="n">
        <v>6.795402620426788e-05</v>
      </c>
      <c r="E32" s="35" t="n">
        <v>6.809298717193443e-05</v>
      </c>
      <c r="F32" s="35" t="n">
        <v>6.912113672522835e-05</v>
      </c>
      <c r="G32" s="6" t="n"/>
    </row>
    <row r="33">
      <c r="B33" s="6" t="n"/>
      <c r="C33" s="6" t="n"/>
      <c r="D33" s="6" t="n"/>
      <c r="E33" s="6" t="n"/>
      <c r="F33" s="6" t="n"/>
      <c r="G33" s="6" t="n"/>
    </row>
    <row r="34">
      <c r="B34" s="6" t="n"/>
      <c r="C34" s="6" t="n"/>
      <c r="D34" s="6" t="n"/>
      <c r="E34" s="6" t="n"/>
      <c r="F34" s="6" t="n"/>
      <c r="G34" s="6" t="n"/>
    </row>
  </sheetData>
  <mergeCells count="8">
    <mergeCell ref="B2:G2"/>
    <mergeCell ref="B19:G19"/>
    <mergeCell ref="B10:G10"/>
    <mergeCell ref="B28:G28"/>
    <mergeCell ref="B5:G5"/>
    <mergeCell ref="B23:G23"/>
    <mergeCell ref="B1:G1"/>
    <mergeCell ref="B25:G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B1" s="5" t="inlineStr">
        <is>
          <t>Step 1（补充）：2026年季度现金流分析（万元）</t>
        </is>
      </c>
      <c r="C1" s="6" t="n"/>
      <c r="D1" s="6" t="n"/>
      <c r="E1" s="6" t="n"/>
      <c r="F1" s="6" t="n"/>
    </row>
    <row r="2">
      <c r="B2" s="18" t="inlineStr">
        <is>
          <t>说明：Q1为收购期无运营；Q2免租期仅有停车费+物业费；Q3起租金开始收取。税收按年度汇总计算。</t>
        </is>
      </c>
      <c r="C2" s="6" t="n"/>
      <c r="D2" s="6" t="n"/>
      <c r="E2" s="6" t="n"/>
      <c r="F2" s="6" t="n"/>
    </row>
    <row r="3">
      <c r="B3" s="6" t="n"/>
      <c r="C3" s="6" t="n"/>
      <c r="D3" s="6" t="n"/>
      <c r="E3" s="6" t="n"/>
      <c r="F3" s="6" t="n"/>
    </row>
    <row r="4" ht="30" customHeight="1">
      <c r="B4" s="19" t="inlineStr">
        <is>
          <t>项目</t>
        </is>
      </c>
      <c r="C4" s="19" t="inlineStr">
        <is>
          <t>Q1 (1-3月)</t>
        </is>
      </c>
      <c r="D4" s="19" t="inlineStr">
        <is>
          <t>Q2 (4-6月)</t>
        </is>
      </c>
      <c r="E4" s="19" t="inlineStr">
        <is>
          <t>Q3 (7-9月)</t>
        </is>
      </c>
      <c r="F4" s="19" t="inlineStr">
        <is>
          <t>Q4 (10-12月)</t>
        </is>
      </c>
    </row>
    <row r="5">
      <c r="B5" s="20" t="inlineStr">
        <is>
          <t>收入</t>
        </is>
      </c>
      <c r="C5" s="6" t="n"/>
      <c r="D5" s="6" t="n"/>
      <c r="E5" s="6" t="n"/>
      <c r="F5" s="6" t="n"/>
    </row>
    <row r="6">
      <c r="B6" s="36" t="inlineStr">
        <is>
          <t>租金收入</t>
        </is>
      </c>
      <c r="C6" s="37" t="n">
        <v>0</v>
      </c>
      <c r="D6" s="37" t="n">
        <v>0</v>
      </c>
      <c r="E6" s="37" t="n">
        <v>1148.9327264</v>
      </c>
      <c r="F6" s="37" t="n">
        <v>1148.9327264</v>
      </c>
    </row>
    <row r="7">
      <c r="B7" s="16" t="inlineStr">
        <is>
          <t>停车费收入</t>
        </is>
      </c>
      <c r="C7" s="21" t="n">
        <v>0</v>
      </c>
      <c r="D7" s="21" t="n">
        <v>82.3095</v>
      </c>
      <c r="E7" s="21" t="n">
        <v>83.214</v>
      </c>
      <c r="F7" s="21" t="n">
        <v>83.214</v>
      </c>
    </row>
    <row r="8">
      <c r="B8" s="16" t="inlineStr">
        <is>
          <t>物业费收入</t>
        </is>
      </c>
      <c r="C8" s="21" t="n">
        <v>0</v>
      </c>
      <c r="D8" s="21" t="n">
        <v>150.311424</v>
      </c>
      <c r="E8" s="21" t="n">
        <v>150.311424</v>
      </c>
      <c r="F8" s="21" t="n">
        <v>150.311424</v>
      </c>
    </row>
    <row r="9">
      <c r="B9" s="22" t="inlineStr">
        <is>
          <t>收入小计</t>
        </is>
      </c>
      <c r="C9" s="23" t="n">
        <v>0</v>
      </c>
      <c r="D9" s="23" t="n">
        <v>232.620924</v>
      </c>
      <c r="E9" s="23" t="n">
        <v>1382.4581504</v>
      </c>
      <c r="F9" s="23" t="n">
        <v>1382.4581504</v>
      </c>
    </row>
    <row r="10">
      <c r="B10" s="24" t="inlineStr">
        <is>
          <t>运营成本</t>
        </is>
      </c>
      <c r="C10" s="6" t="n"/>
      <c r="D10" s="6" t="n"/>
      <c r="E10" s="6" t="n"/>
      <c r="F10" s="6" t="n"/>
    </row>
    <row r="11">
      <c r="B11" s="38" t="inlineStr">
        <is>
          <t>运营成本小计</t>
        </is>
      </c>
      <c r="C11" s="39" t="n">
        <v>0</v>
      </c>
      <c r="D11" s="39" t="n">
        <v>488.6158001506849</v>
      </c>
      <c r="E11" s="39" t="n">
        <v>522.7085227079452</v>
      </c>
      <c r="F11" s="39" t="n">
        <v>522.7085227079452</v>
      </c>
    </row>
    <row r="12">
      <c r="B12" s="27" t="inlineStr">
        <is>
          <t>利润（税前，季度口径）</t>
        </is>
      </c>
      <c r="C12" s="6" t="n"/>
      <c r="D12" s="6" t="n"/>
      <c r="E12" s="6" t="n"/>
      <c r="F12" s="6" t="n"/>
    </row>
    <row r="13">
      <c r="B13" s="30" t="inlineStr">
        <is>
          <t>营业利润（含季度分摊）</t>
        </is>
      </c>
      <c r="C13" s="31" t="n">
        <v>0</v>
      </c>
      <c r="D13" s="31" t="n">
        <v>-255.9948761506849</v>
      </c>
      <c r="E13" s="31" t="n">
        <v>859.7496276920549</v>
      </c>
      <c r="F13" s="31" t="n">
        <v>859.7496276920549</v>
      </c>
    </row>
    <row r="14">
      <c r="B14" s="6" t="n"/>
      <c r="C14" s="6" t="n"/>
      <c r="D14" s="6" t="n"/>
      <c r="E14" s="6" t="n"/>
      <c r="F14" s="6" t="n"/>
    </row>
    <row r="15">
      <c r="B15" s="40" t="inlineStr">
        <is>
          <t>2026全年汇总（与年度现金流匹配）</t>
        </is>
      </c>
      <c r="C15" s="6" t="n"/>
      <c r="D15" s="6" t="n"/>
      <c r="E15" s="6" t="n"/>
      <c r="F15" s="6" t="n"/>
    </row>
    <row r="16">
      <c r="B16" s="32" t="inlineStr">
        <is>
          <t>2026年度税后净现金流（年度口径）</t>
        </is>
      </c>
      <c r="C16" s="33" t="inlineStr">
        <is>
          <t>-</t>
        </is>
      </c>
      <c r="D16" s="33" t="inlineStr">
        <is>
          <t>-</t>
        </is>
      </c>
      <c r="E16" s="33" t="inlineStr">
        <is>
          <t>-</t>
        </is>
      </c>
      <c r="F16" s="33" t="n">
        <v>1102.6621010475</v>
      </c>
    </row>
    <row r="17">
      <c r="B17" s="6" t="n"/>
      <c r="C17" s="6" t="n"/>
      <c r="D17" s="6" t="n"/>
      <c r="E17" s="6" t="n"/>
      <c r="F17" s="6" t="n"/>
    </row>
    <row r="18">
      <c r="B18" s="6" t="n"/>
      <c r="C18" s="6" t="n"/>
      <c r="D18" s="6" t="n"/>
      <c r="E18" s="6" t="n"/>
      <c r="F18" s="6" t="n"/>
    </row>
    <row r="19">
      <c r="B19" s="40" t="inlineStr">
        <is>
          <t>季度现金流改善分析</t>
        </is>
      </c>
      <c r="C19" s="6" t="n"/>
      <c r="D19" s="6" t="n"/>
      <c r="E19" s="6" t="n"/>
      <c r="F19" s="6" t="n"/>
    </row>
    <row r="20">
      <c r="B20" s="41" t="inlineStr">
        <is>
          <t>Q1 → Q2：运营启动（仅停车费+物业费），税前利润由0→负（因分摊的人事/管理/能耗成本较高）</t>
        </is>
      </c>
      <c r="C20" s="6" t="n"/>
      <c r="D20" s="6" t="n"/>
      <c r="E20" s="6" t="n"/>
      <c r="F20" s="6" t="n"/>
    </row>
    <row r="21">
      <c r="B21" s="41" t="inlineStr">
        <is>
          <t>Q2 → Q3：免租期结束，租金收入涌入，季度税前利润大幅转正（约+1116万元）</t>
        </is>
      </c>
      <c r="C21" s="6" t="n"/>
      <c r="D21" s="6" t="n"/>
      <c r="E21" s="6" t="n"/>
      <c r="F21" s="6" t="n"/>
    </row>
    <row r="22">
      <c r="B22" s="41" t="inlineStr">
        <is>
          <t>Q3 = Q4（2026）：同等运营条件，现金流基本持平</t>
        </is>
      </c>
      <c r="C22" s="6" t="n"/>
      <c r="D22" s="6" t="n"/>
      <c r="E22" s="6" t="n"/>
      <c r="F22" s="6" t="n"/>
    </row>
    <row r="23">
      <c r="B23" s="42" t="inlineStr">
        <is>
          <t>改造期年度净CF（2026）≈ 1103万元  vs  稳定期（2027）≈ 3325万元，相差约2222万元（202%增幅）</t>
        </is>
      </c>
      <c r="C23" s="6" t="n"/>
      <c r="D23" s="6" t="n"/>
      <c r="E23" s="6" t="n"/>
      <c r="F23" s="6" t="n"/>
    </row>
    <row r="24">
      <c r="B24" s="6" t="n"/>
      <c r="C24" s="6" t="n"/>
      <c r="D24" s="6" t="n"/>
      <c r="E24" s="6" t="n"/>
      <c r="F24" s="6" t="n"/>
    </row>
  </sheetData>
  <mergeCells count="7">
    <mergeCell ref="B12:F12"/>
    <mergeCell ref="B2:F2"/>
    <mergeCell ref="B15:F15"/>
    <mergeCell ref="B10:F10"/>
    <mergeCell ref="B5:F5"/>
    <mergeCell ref="B19:F19"/>
    <mergeCell ref="B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B1" s="5" t="inlineStr">
        <is>
          <t>Step 2：收购价格估算（MARR = 12%）</t>
        </is>
      </c>
      <c r="C1" s="6" t="n"/>
      <c r="D1" s="6" t="n"/>
      <c r="E1" s="6" t="n"/>
      <c r="F1" s="6" t="n"/>
      <c r="G1" s="6" t="n"/>
    </row>
    <row r="2">
      <c r="B2" s="6" t="n"/>
      <c r="C2" s="6" t="n"/>
      <c r="D2" s="6" t="n"/>
      <c r="E2" s="6" t="n"/>
      <c r="F2" s="6" t="n"/>
      <c r="G2" s="6" t="n"/>
    </row>
    <row r="3">
      <c r="B3" s="7" t="inlineStr">
        <is>
          <t>一、未来现金流现值计算（折现率12%）</t>
        </is>
      </c>
      <c r="C3" s="6" t="n"/>
      <c r="D3" s="6" t="n"/>
      <c r="E3" s="6" t="n"/>
      <c r="F3" s="6" t="n"/>
      <c r="G3" s="6" t="n"/>
    </row>
    <row r="4">
      <c r="B4" s="8" t="inlineStr">
        <is>
          <t>时间节点</t>
        </is>
      </c>
      <c r="C4" s="8" t="inlineStr">
        <is>
          <t>期间</t>
        </is>
      </c>
      <c r="D4" s="8" t="inlineStr">
        <is>
          <t>年度总CF（万元）</t>
        </is>
      </c>
      <c r="E4" s="8" t="inlineStr">
        <is>
          <t>折现系数</t>
        </is>
      </c>
      <c r="F4" s="8" t="inlineStr">
        <is>
          <t>现值（万元）</t>
        </is>
      </c>
      <c r="G4" s="6" t="n"/>
    </row>
    <row r="5">
      <c r="B5" s="9" t="inlineStr">
        <is>
          <t>2026年</t>
        </is>
      </c>
      <c r="C5" s="16" t="inlineStr">
        <is>
          <t>改造期（9个月运营）</t>
        </is>
      </c>
      <c r="D5" s="21" t="n">
        <v>1102.6621010475</v>
      </c>
      <c r="E5" s="43" t="n">
        <v>0.8928571428571428</v>
      </c>
      <c r="F5" s="29" t="n">
        <v>984.5197330781253</v>
      </c>
      <c r="G5" s="6" t="n"/>
    </row>
    <row r="6">
      <c r="B6" s="9" t="inlineStr">
        <is>
          <t>2027年</t>
        </is>
      </c>
      <c r="C6" s="16" t="inlineStr">
        <is>
          <t>稳定期</t>
        </is>
      </c>
      <c r="D6" s="21" t="n">
        <v>3324.527119720313</v>
      </c>
      <c r="E6" s="43" t="n">
        <v>0.7971938775510203</v>
      </c>
      <c r="F6" s="29" t="n">
        <v>2650.292665593362</v>
      </c>
      <c r="G6" s="6" t="n"/>
    </row>
    <row r="7">
      <c r="B7" s="9" t="inlineStr">
        <is>
          <t>2028年</t>
        </is>
      </c>
      <c r="C7" s="16" t="inlineStr">
        <is>
          <t>稳定期</t>
        </is>
      </c>
      <c r="D7" s="21" t="n">
        <v>3365.046115811438</v>
      </c>
      <c r="E7" s="43" t="n">
        <v>0.7117802478134109</v>
      </c>
      <c r="F7" s="29" t="n">
        <v>2395.173358215821</v>
      </c>
      <c r="G7" s="6" t="n"/>
    </row>
    <row r="8">
      <c r="B8" s="9" t="inlineStr">
        <is>
          <t>2029年</t>
        </is>
      </c>
      <c r="C8" s="16" t="inlineStr">
        <is>
          <t>稳定期 + 退出价值</t>
        </is>
      </c>
      <c r="D8" s="21" t="n">
        <v>47712.62865266858</v>
      </c>
      <c r="E8" s="43" t="n">
        <v>0.6355180784048311</v>
      </c>
      <c r="F8" s="29" t="n">
        <v>30322.23807698723</v>
      </c>
      <c r="G8" s="6" t="n"/>
    </row>
    <row r="9">
      <c r="B9" s="20" t="inlineStr">
        <is>
          <t>未来CF现值合计</t>
        </is>
      </c>
      <c r="C9" s="6" t="n"/>
      <c r="D9" s="6" t="n"/>
      <c r="E9" s="6" t="n"/>
      <c r="F9" s="44" t="n">
        <v>36352.22383387454</v>
      </c>
      <c r="G9" s="6" t="n"/>
    </row>
    <row r="10">
      <c r="B10" s="6" t="n"/>
      <c r="C10" s="6" t="n"/>
      <c r="D10" s="6" t="n"/>
      <c r="E10" s="6" t="n"/>
      <c r="F10" s="6" t="n"/>
      <c r="G10" s="6" t="n"/>
    </row>
    <row r="11">
      <c r="B11" s="7" t="inlineStr">
        <is>
          <t>二、收购价格推算</t>
        </is>
      </c>
      <c r="C11" s="6" t="n"/>
      <c r="D11" s="6" t="n"/>
      <c r="E11" s="6" t="n"/>
      <c r="F11" s="6" t="n"/>
      <c r="G11" s="6" t="n"/>
    </row>
    <row r="12">
      <c r="B12" s="16" t="inlineStr">
        <is>
          <t>未来CF现值合计</t>
        </is>
      </c>
      <c r="C12" s="21" t="n">
        <v>36352.22383387454</v>
      </c>
      <c r="D12" s="16" t="inlineStr">
        <is>
          <t>万元</t>
        </is>
      </c>
      <c r="E12" s="6" t="n"/>
      <c r="F12" s="6" t="n"/>
      <c r="G12" s="6" t="n"/>
    </row>
    <row r="13">
      <c r="B13" s="16" t="inlineStr">
        <is>
          <t xml:space="preserve">  减：其他交易费用</t>
        </is>
      </c>
      <c r="C13" s="21" t="n">
        <v>-1100</v>
      </c>
      <c r="D13" s="16" t="inlineStr">
        <is>
          <t>万元</t>
        </is>
      </c>
      <c r="E13" s="6" t="n"/>
      <c r="F13" s="6" t="n"/>
      <c r="G13" s="6" t="n"/>
    </row>
    <row r="14">
      <c r="B14" s="16" t="inlineStr">
        <is>
          <t xml:space="preserve">  减：商场开业成本</t>
        </is>
      </c>
      <c r="C14" s="21" t="n">
        <v>-1000</v>
      </c>
      <c r="D14" s="16" t="inlineStr">
        <is>
          <t>万元</t>
        </is>
      </c>
      <c r="E14" s="6" t="n"/>
      <c r="F14" s="6" t="n"/>
      <c r="G14" s="6" t="n"/>
    </row>
    <row r="15">
      <c r="B15" s="30" t="inlineStr">
        <is>
          <t xml:space="preserve">  = 可用于支付收购对价×(1+3%)</t>
        </is>
      </c>
      <c r="C15" s="31" t="n">
        <v>34252.22383387454</v>
      </c>
      <c r="D15" s="45" t="inlineStr">
        <is>
          <t>万元</t>
        </is>
      </c>
      <c r="E15" s="6" t="n"/>
      <c r="F15" s="6" t="n"/>
      <c r="G15" s="6" t="n"/>
    </row>
    <row r="16">
      <c r="B16" s="16" t="inlineStr">
        <is>
          <t xml:space="preserve">  ÷ (1 + 契税税率 3%)</t>
        </is>
      </c>
      <c r="C16" s="46" t="n">
        <v>1.03</v>
      </c>
      <c r="D16" s="16" t="inlineStr">
        <is>
          <t>倍</t>
        </is>
      </c>
      <c r="E16" s="6" t="n"/>
      <c r="F16" s="6" t="n"/>
      <c r="G16" s="6" t="n"/>
    </row>
    <row r="17">
      <c r="B17" s="30" t="inlineStr">
        <is>
          <t>★ 建议收购对价（P）</t>
        </is>
      </c>
      <c r="C17" s="31" t="n">
        <v>33254.58624648013</v>
      </c>
      <c r="D17" s="45" t="inlineStr">
        <is>
          <t>万元</t>
        </is>
      </c>
      <c r="E17" s="6" t="n"/>
      <c r="F17" s="6" t="n"/>
      <c r="G17" s="6" t="n"/>
    </row>
    <row r="18">
      <c r="B18" s="16" t="inlineStr">
        <is>
          <t xml:space="preserve">  对应契税</t>
        </is>
      </c>
      <c r="C18" s="21" t="n">
        <v>997.6375873944039</v>
      </c>
      <c r="D18" s="16" t="inlineStr">
        <is>
          <t>万元</t>
        </is>
      </c>
      <c r="E18" s="6" t="n"/>
      <c r="F18" s="6" t="n"/>
      <c r="G18" s="6" t="n"/>
    </row>
    <row r="19">
      <c r="B19" s="16" t="inlineStr">
        <is>
          <t xml:space="preserve">  其他交易费用</t>
        </is>
      </c>
      <c r="C19" s="21" t="n">
        <v>1100</v>
      </c>
      <c r="D19" s="16" t="inlineStr">
        <is>
          <t>万元</t>
        </is>
      </c>
      <c r="E19" s="6" t="n"/>
      <c r="F19" s="6" t="n"/>
      <c r="G19" s="6" t="n"/>
    </row>
    <row r="20">
      <c r="B20" s="16" t="inlineStr">
        <is>
          <t xml:space="preserve">  商场开业成本</t>
        </is>
      </c>
      <c r="C20" s="21" t="n">
        <v>1000</v>
      </c>
      <c r="D20" s="16" t="inlineStr">
        <is>
          <t>万元</t>
        </is>
      </c>
      <c r="E20" s="6" t="n"/>
      <c r="F20" s="6" t="n"/>
      <c r="G20" s="6" t="n"/>
    </row>
    <row r="21">
      <c r="B21" s="30" t="inlineStr">
        <is>
          <t>★ 总投资额（P×1.03 + 2100万）</t>
        </is>
      </c>
      <c r="C21" s="31" t="n">
        <v>36352.22383387454</v>
      </c>
      <c r="D21" s="45" t="inlineStr">
        <is>
          <t>万元</t>
        </is>
      </c>
      <c r="E21" s="6" t="n"/>
      <c r="F21" s="6" t="n"/>
      <c r="G21" s="6" t="n"/>
    </row>
    <row r="22">
      <c r="B22" s="6" t="n"/>
      <c r="C22" s="6" t="n"/>
      <c r="D22" s="6" t="n"/>
      <c r="E22" s="6" t="n"/>
      <c r="F22" s="6" t="n"/>
      <c r="G22" s="6" t="n"/>
    </row>
    <row r="23">
      <c r="B23" s="7" t="inlineStr">
        <is>
          <t>三、投资回报验证（按建议收购价格）</t>
        </is>
      </c>
      <c r="C23" s="6" t="n"/>
      <c r="D23" s="6" t="n"/>
      <c r="E23" s="6" t="n"/>
      <c r="F23" s="6" t="n"/>
      <c r="G23" s="6" t="n"/>
    </row>
    <row r="24">
      <c r="B24" s="16" t="inlineStr">
        <is>
          <t>NPV（验证，应≈0）</t>
        </is>
      </c>
      <c r="C24" s="29" t="n">
        <v>0</v>
      </c>
      <c r="D24" s="16" t="inlineStr">
        <is>
          <t>万元</t>
        </is>
      </c>
      <c r="E24" s="6" t="n"/>
      <c r="F24" s="6" t="n"/>
      <c r="G24" s="6" t="n"/>
    </row>
    <row r="25">
      <c r="B25" s="16" t="inlineStr">
        <is>
          <t>IRR（理论值）</t>
        </is>
      </c>
      <c r="C25" s="47" t="n">
        <v>0.12</v>
      </c>
      <c r="D25" s="16">
        <f> MARR = 12%</f>
        <v/>
      </c>
      <c r="E25" s="6" t="n"/>
      <c r="F25" s="6" t="n"/>
      <c r="G25" s="6" t="n"/>
    </row>
    <row r="26">
      <c r="B26" s="16" t="inlineStr">
        <is>
          <t>总投资回报倍数（含退出价值）</t>
        </is>
      </c>
      <c r="C26" s="48" t="n">
        <v>1</v>
      </c>
      <c r="D26" s="16" t="inlineStr">
        <is>
          <t>倍</t>
        </is>
      </c>
      <c r="E26" s="6" t="n"/>
      <c r="F26" s="6" t="n"/>
      <c r="G26" s="6" t="n"/>
    </row>
    <row r="27">
      <c r="B27" s="16" t="inlineStr">
        <is>
          <t>退出价值 / 总现金流入</t>
        </is>
      </c>
      <c r="C27" s="48" t="n">
        <v>1.21528630725515</v>
      </c>
      <c r="D27" s="16" t="inlineStr">
        <is>
          <t>%</t>
        </is>
      </c>
      <c r="E27" s="6" t="n"/>
      <c r="F27" s="6" t="n"/>
      <c r="G27" s="6" t="n"/>
    </row>
    <row r="28">
      <c r="B28" s="16" t="inlineStr">
        <is>
          <t>总CF现值 / 总投资</t>
        </is>
      </c>
      <c r="C28" s="48" t="n">
        <v>1</v>
      </c>
      <c r="D28" s="16" t="inlineStr">
        <is>
          <t>倍</t>
        </is>
      </c>
      <c r="E28" s="6" t="n"/>
      <c r="F28" s="6" t="n"/>
      <c r="G28" s="6" t="n"/>
    </row>
    <row r="29">
      <c r="B29" s="6" t="n"/>
      <c r="C29" s="6" t="n"/>
      <c r="D29" s="6" t="n"/>
      <c r="E29" s="6" t="n"/>
      <c r="F29" s="6" t="n"/>
      <c r="G29" s="6" t="n"/>
    </row>
    <row r="30">
      <c r="B30" s="6" t="n"/>
      <c r="C30" s="6" t="n"/>
      <c r="D30" s="6" t="n"/>
      <c r="E30" s="6" t="n"/>
      <c r="F30" s="6" t="n"/>
      <c r="G30" s="6" t="n"/>
    </row>
  </sheetData>
  <mergeCells count="4">
    <mergeCell ref="B3:G3"/>
    <mergeCell ref="B23:G23"/>
    <mergeCell ref="B11:G11"/>
    <mergeCell ref="B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5" t="inlineStr">
        <is>
          <t>Step 3：敏感性分析 – 建议收购对价（万元，MARR=12%）</t>
        </is>
      </c>
      <c r="C1" s="6" t="n"/>
      <c r="D1" s="6" t="n"/>
      <c r="E1" s="6" t="n"/>
      <c r="F1" s="6" t="n"/>
      <c r="G1" s="6" t="n"/>
    </row>
    <row r="2">
      <c r="B2" s="18" t="inlineStr">
        <is>
          <t>分析变量：稳定期（2027-2029年）出租率 × 2029年租金增长率；底色越深代表收购价格越高。</t>
        </is>
      </c>
      <c r="C2" s="6" t="n"/>
      <c r="D2" s="6" t="n"/>
      <c r="E2" s="6" t="n"/>
      <c r="F2" s="6" t="n"/>
      <c r="G2" s="6" t="n"/>
    </row>
    <row r="3">
      <c r="B3" s="6" t="n"/>
      <c r="C3" s="6" t="n"/>
      <c r="D3" s="6" t="n"/>
      <c r="E3" s="6" t="n"/>
      <c r="F3" s="6" t="n"/>
      <c r="G3" s="6" t="n"/>
    </row>
    <row r="4">
      <c r="B4" s="40" t="inlineStr">
        <is>
          <t>出租率 \ 租金增长率</t>
        </is>
      </c>
      <c r="C4" s="49" t="inlineStr">
        <is>
          <t>-3%</t>
        </is>
      </c>
      <c r="D4" s="49" t="inlineStr">
        <is>
          <t>0%</t>
        </is>
      </c>
      <c r="E4" s="49" t="inlineStr">
        <is>
          <t>3%</t>
        </is>
      </c>
      <c r="F4" s="49" t="inlineStr">
        <is>
          <t>5%</t>
        </is>
      </c>
      <c r="G4" s="49" t="inlineStr">
        <is>
          <t>8%</t>
        </is>
      </c>
    </row>
    <row r="5">
      <c r="B5" s="8" t="inlineStr">
        <is>
          <t>70%</t>
        </is>
      </c>
      <c r="C5" s="50" t="n">
        <v>19953.99989712089</v>
      </c>
      <c r="D5" s="51" t="n">
        <v>20682.81821109013</v>
      </c>
      <c r="E5" s="52" t="n">
        <v>21411.63652505938</v>
      </c>
      <c r="F5" s="53" t="n">
        <v>21897.51540103888</v>
      </c>
      <c r="G5" s="54" t="n">
        <v>22626.33371500814</v>
      </c>
    </row>
    <row r="6">
      <c r="B6" s="8" t="inlineStr">
        <is>
          <t>75%</t>
        </is>
      </c>
      <c r="C6" s="55" t="n">
        <v>22218.47293940942</v>
      </c>
      <c r="D6" s="56" t="n">
        <v>22999.34970437648</v>
      </c>
      <c r="E6" s="57" t="n">
        <v>23780.22646934352</v>
      </c>
      <c r="F6" s="58" t="n">
        <v>24300.81097932156</v>
      </c>
      <c r="G6" s="59" t="n">
        <v>25081.68774428861</v>
      </c>
    </row>
    <row r="7">
      <c r="B7" s="8" t="inlineStr">
        <is>
          <t>80%</t>
        </is>
      </c>
      <c r="C7" s="60" t="n">
        <v>24482.94598169797</v>
      </c>
      <c r="D7" s="61" t="n">
        <v>25315.88119766283</v>
      </c>
      <c r="E7" s="62" t="n">
        <v>26148.81641362769</v>
      </c>
      <c r="F7" s="63" t="n">
        <v>26704.10655760425</v>
      </c>
      <c r="G7" s="64" t="n">
        <v>27537.04177356911</v>
      </c>
    </row>
    <row r="8">
      <c r="B8" s="8" t="inlineStr">
        <is>
          <t>85%</t>
        </is>
      </c>
      <c r="C8" s="65" t="n">
        <v>26747.4190239865</v>
      </c>
      <c r="D8" s="66" t="n">
        <v>27632.41269094916</v>
      </c>
      <c r="E8" s="67" t="n">
        <v>28517.40635791183</v>
      </c>
      <c r="F8" s="68" t="n">
        <v>29107.40213588694</v>
      </c>
      <c r="G8" s="69" t="n">
        <v>29992.3958028496</v>
      </c>
    </row>
    <row r="9">
      <c r="B9" s="8" t="inlineStr">
        <is>
          <t>90%</t>
        </is>
      </c>
      <c r="C9" s="70" t="n">
        <v>29011.89206627505</v>
      </c>
      <c r="D9" s="71" t="n">
        <v>29948.94418423551</v>
      </c>
      <c r="E9" s="72" t="n">
        <v>30885.99630219598</v>
      </c>
      <c r="F9" s="73" t="n">
        <v>31510.69771416961</v>
      </c>
      <c r="G9" s="74" t="n">
        <v>32447.74983213009</v>
      </c>
    </row>
    <row r="10">
      <c r="B10" s="8" t="inlineStr">
        <is>
          <t>95%</t>
        </is>
      </c>
      <c r="C10" s="75" t="n">
        <v>31276.36510856359</v>
      </c>
      <c r="D10" s="76" t="n">
        <v>32265.47567752186</v>
      </c>
      <c r="E10" s="31" t="n">
        <v>33254.58624648013</v>
      </c>
      <c r="F10" s="77" t="n">
        <v>33913.9932924523</v>
      </c>
      <c r="G10" s="78" t="n">
        <v>34903.10386141056</v>
      </c>
    </row>
    <row r="11">
      <c r="B11" s="6" t="n"/>
      <c r="C11" s="6" t="n"/>
      <c r="D11" s="6" t="n"/>
      <c r="E11" s="6" t="n"/>
      <c r="F11" s="6" t="n"/>
      <c r="G11" s="6" t="n"/>
    </row>
    <row r="12">
      <c r="B12" s="7" t="inlineStr">
        <is>
          <t>单变量分析①：出租率变化对收购价格的影响（租金增长率固定3%）</t>
        </is>
      </c>
      <c r="C12" s="6" t="n"/>
      <c r="D12" s="6" t="n"/>
      <c r="E12" s="6" t="n"/>
      <c r="F12" s="6" t="n"/>
      <c r="G12" s="6" t="n"/>
    </row>
    <row r="13">
      <c r="B13" s="8" t="inlineStr">
        <is>
          <t>出租率</t>
        </is>
      </c>
      <c r="C13" s="8" t="inlineStr">
        <is>
          <t>收购价格（万元）</t>
        </is>
      </c>
      <c r="D13" s="8" t="inlineStr">
        <is>
          <t>vs基准（95%, 3%）</t>
        </is>
      </c>
      <c r="E13" s="6" t="n"/>
      <c r="F13" s="6" t="n"/>
      <c r="G13" s="6" t="n"/>
    </row>
    <row r="14">
      <c r="B14" s="9" t="inlineStr">
        <is>
          <t>70%</t>
        </is>
      </c>
      <c r="C14" s="21" t="n">
        <v>21411.63652505938</v>
      </c>
      <c r="D14" s="79" t="n">
        <v>-0.3561298172120327</v>
      </c>
      <c r="E14" s="6" t="n"/>
      <c r="F14" s="6" t="n"/>
      <c r="G14" s="6" t="n"/>
    </row>
    <row r="15">
      <c r="B15" s="9" t="inlineStr">
        <is>
          <t>75%</t>
        </is>
      </c>
      <c r="C15" s="21" t="n">
        <v>23780.22646934352</v>
      </c>
      <c r="D15" s="79" t="n">
        <v>-0.2849038537696265</v>
      </c>
      <c r="E15" s="6" t="n"/>
      <c r="F15" s="6" t="n"/>
      <c r="G15" s="6" t="n"/>
    </row>
    <row r="16">
      <c r="B16" s="9" t="inlineStr">
        <is>
          <t>80%</t>
        </is>
      </c>
      <c r="C16" s="21" t="n">
        <v>26148.81641362769</v>
      </c>
      <c r="D16" s="79" t="n">
        <v>-0.2136778903272194</v>
      </c>
      <c r="E16" s="6" t="n"/>
      <c r="F16" s="6" t="n"/>
      <c r="G16" s="6" t="n"/>
    </row>
    <row r="17">
      <c r="B17" s="9" t="inlineStr">
        <is>
          <t>85%</t>
        </is>
      </c>
      <c r="C17" s="21" t="n">
        <v>28517.40635791183</v>
      </c>
      <c r="D17" s="79" t="n">
        <v>-0.1424519268848133</v>
      </c>
      <c r="E17" s="6" t="n"/>
      <c r="F17" s="6" t="n"/>
      <c r="G17" s="6" t="n"/>
    </row>
    <row r="18">
      <c r="B18" s="9" t="inlineStr">
        <is>
          <t>90%</t>
        </is>
      </c>
      <c r="C18" s="21" t="n">
        <v>30885.99630219598</v>
      </c>
      <c r="D18" s="79" t="n">
        <v>-0.07122596344240666</v>
      </c>
      <c r="E18" s="6" t="n"/>
      <c r="F18" s="6" t="n"/>
      <c r="G18" s="6" t="n"/>
    </row>
    <row r="19">
      <c r="B19" s="9" t="inlineStr">
        <is>
          <t>95%</t>
        </is>
      </c>
      <c r="C19" s="29" t="n">
        <v>33254.58624648013</v>
      </c>
      <c r="D19" s="80" t="n">
        <v>0</v>
      </c>
      <c r="E19" s="6" t="n"/>
      <c r="F19" s="6" t="n"/>
      <c r="G19" s="6" t="n"/>
    </row>
    <row r="20">
      <c r="B20" s="6" t="n"/>
      <c r="C20" s="6" t="n"/>
      <c r="D20" s="6" t="n"/>
      <c r="E20" s="6" t="n"/>
      <c r="F20" s="6" t="n"/>
      <c r="G20" s="6" t="n"/>
    </row>
    <row r="21">
      <c r="B21" s="7" t="inlineStr">
        <is>
          <t>单变量分析②：2029年租金增长率变化对收购价格的影响（出租率固定95%）</t>
        </is>
      </c>
      <c r="C21" s="6" t="n"/>
      <c r="D21" s="6" t="n"/>
      <c r="E21" s="6" t="n"/>
      <c r="F21" s="6" t="n"/>
      <c r="G21" s="6" t="n"/>
    </row>
    <row r="22">
      <c r="B22" s="8" t="inlineStr">
        <is>
          <t>租金增长率</t>
        </is>
      </c>
      <c r="C22" s="8" t="inlineStr">
        <is>
          <t>收购价格（万元）</t>
        </is>
      </c>
      <c r="D22" s="8" t="inlineStr">
        <is>
          <t>vs基准（95%, 3%）</t>
        </is>
      </c>
      <c r="E22" s="6" t="n"/>
      <c r="F22" s="6" t="n"/>
      <c r="G22" s="6" t="n"/>
    </row>
    <row r="23">
      <c r="B23" s="9" t="inlineStr">
        <is>
          <t>-3%</t>
        </is>
      </c>
      <c r="C23" s="21" t="n">
        <v>31276.36510856359</v>
      </c>
      <c r="D23" s="79" t="n">
        <v>-0.05948716737156602</v>
      </c>
      <c r="E23" s="6" t="n"/>
      <c r="F23" s="6" t="n"/>
      <c r="G23" s="6" t="n"/>
    </row>
    <row r="24">
      <c r="B24" s="9" t="inlineStr">
        <is>
          <t>0%</t>
        </is>
      </c>
      <c r="C24" s="21" t="n">
        <v>32265.47567752186</v>
      </c>
      <c r="D24" s="79" t="n">
        <v>-0.02974358368578319</v>
      </c>
      <c r="E24" s="6" t="n"/>
      <c r="F24" s="6" t="n"/>
      <c r="G24" s="6" t="n"/>
    </row>
    <row r="25">
      <c r="B25" s="9" t="inlineStr">
        <is>
          <t>3%</t>
        </is>
      </c>
      <c r="C25" s="29" t="n">
        <v>33254.58624648013</v>
      </c>
      <c r="D25" s="80" t="n">
        <v>0</v>
      </c>
      <c r="E25" s="6" t="n"/>
      <c r="F25" s="6" t="n"/>
      <c r="G25" s="6" t="n"/>
    </row>
    <row r="26">
      <c r="B26" s="9" t="inlineStr">
        <is>
          <t>5%</t>
        </is>
      </c>
      <c r="C26" s="21" t="n">
        <v>33913.9932924523</v>
      </c>
      <c r="D26" s="80" t="n">
        <v>0.01982905579052165</v>
      </c>
      <c r="E26" s="6" t="n"/>
      <c r="F26" s="6" t="n"/>
      <c r="G26" s="6" t="n"/>
    </row>
    <row r="27">
      <c r="B27" s="9" t="inlineStr">
        <is>
          <t>8%</t>
        </is>
      </c>
      <c r="C27" s="21" t="n">
        <v>34903.10386141056</v>
      </c>
      <c r="D27" s="80" t="n">
        <v>0.0495726394763043</v>
      </c>
      <c r="E27" s="6" t="n"/>
      <c r="F27" s="6" t="n"/>
      <c r="G27" s="6" t="n"/>
    </row>
    <row r="28">
      <c r="B28" s="6" t="n"/>
      <c r="C28" s="6" t="n"/>
      <c r="D28" s="6" t="n"/>
      <c r="E28" s="6" t="n"/>
      <c r="F28" s="6" t="n"/>
      <c r="G28" s="6" t="n"/>
    </row>
    <row r="29">
      <c r="B29" s="6" t="n"/>
      <c r="C29" s="6" t="n"/>
      <c r="D29" s="6" t="n"/>
      <c r="E29" s="6" t="n"/>
      <c r="F29" s="6" t="n"/>
      <c r="G29" s="6" t="n"/>
    </row>
    <row r="30">
      <c r="B30" s="40" t="inlineStr">
        <is>
          <t>敏感性结论</t>
        </is>
      </c>
      <c r="C30" s="6" t="n"/>
      <c r="D30" s="6" t="n"/>
      <c r="E30" s="6" t="n"/>
      <c r="F30" s="6" t="n"/>
      <c r="G30" s="6" t="n"/>
    </row>
    <row r="31" ht="48" customHeight="1">
      <c r="B31" s="16" t="inlineStr">
        <is>
          <t>基准假设（出租率95%，租金增长率3%）下建议收购价约 33255 万元（3.33亿元）。出租率每下降5%，收购对价降低约2369万元；若出租率仅达80%（最悲观），合理价格约25316万元。</t>
        </is>
      </c>
      <c r="C31" s="6" t="n"/>
      <c r="D31" s="6" t="n"/>
      <c r="E31" s="6" t="n"/>
      <c r="F31" s="6" t="n"/>
      <c r="G31" s="6" t="n"/>
    </row>
    <row r="32">
      <c r="B32" s="6" t="n"/>
      <c r="C32" s="6" t="n"/>
      <c r="D32" s="6" t="n"/>
      <c r="E32" s="6" t="n"/>
      <c r="F32" s="6" t="n"/>
      <c r="G32" s="6" t="n"/>
    </row>
  </sheetData>
  <mergeCells count="5">
    <mergeCell ref="B2:G2"/>
    <mergeCell ref="B30:G30"/>
    <mergeCell ref="B1:G1"/>
    <mergeCell ref="B12:G12"/>
    <mergeCell ref="B21:G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2026-04-22T06:56:02Z</dcterms:created>
  <dcterms:modified xmlns:dcterms="http://purl.org/dc/terms/" xmlns:xsi="http://www.w3.org/2001/XMLSchema-instance" xsi:type="dcterms:W3CDTF">2026-04-22T06:56:02Z</dcterms:modified>
</cp:coreProperties>
</file>
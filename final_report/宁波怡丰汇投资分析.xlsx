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课程文件\工程经济学\case_study\EngineringEconomyCaseStudy\final_report\"/>
    </mc:Choice>
  </mc:AlternateContent>
  <xr:revisionPtr revIDLastSave="0" documentId="13_ncr:1_{95E6654D-3280-4AD4-9DBB-2CC102C6D405}" xr6:coauthVersionLast="47" xr6:coauthVersionMax="47" xr10:uidLastSave="{00000000-0000-0000-0000-000000000000}"/>
  <bookViews>
    <workbookView xWindow="3308" yWindow="3308" windowWidth="21600" windowHeight="11332" xr2:uid="{00000000-000D-0000-FFFF-FFFF00000000}"/>
  </bookViews>
  <sheets>
    <sheet name="封面" sheetId="1" r:id="rId1"/>
    <sheet name="主要假设" sheetId="2" r:id="rId2"/>
    <sheet name="年度现金流" sheetId="3" r:id="rId3"/>
    <sheet name="季度现金流" sheetId="4" r:id="rId4"/>
    <sheet name="收购价格" sheetId="5" r:id="rId5"/>
    <sheet name="敏感性分析" sheetId="6" r:id="rId6"/>
    <sheet name="敏感性计算明细" sheetId="7" r:id="rId7"/>
  </sheets>
  <definedNames>
    <definedName name="_xlnm.Print_Area" localSheetId="0">封面!$B$1:$F$14</definedName>
    <definedName name="_xlnm.Print_Area" localSheetId="3">季度现金流!$B$1:$G$24</definedName>
    <definedName name="_xlnm.Print_Area" localSheetId="5">敏感性分析!$B$1:$G$32</definedName>
    <definedName name="_xlnm.Print_Area" localSheetId="6">敏感性计算明细!$A$1:$AM$33</definedName>
    <definedName name="_xlnm.Print_Area" localSheetId="2">年度现金流!$B$1:$G$34</definedName>
    <definedName name="_xlnm.Print_Area" localSheetId="4">收购价格!$B$1:$F$30</definedName>
    <definedName name="_xlnm.Print_Area" localSheetId="1">主要假设!$B$1:$H$64</definedName>
  </definedNames>
  <calcPr calcId="191029" forceFullCalc="1"/>
</workbook>
</file>

<file path=xl/calcChain.xml><?xml version="1.0" encoding="utf-8"?>
<calcChain xmlns="http://schemas.openxmlformats.org/spreadsheetml/2006/main">
  <c r="P33" i="7" l="1"/>
  <c r="O33" i="7"/>
  <c r="N33" i="7"/>
  <c r="L33" i="7"/>
  <c r="K33" i="7"/>
  <c r="J33" i="7"/>
  <c r="I33" i="7"/>
  <c r="H33" i="7"/>
  <c r="G33" i="7"/>
  <c r="F33" i="7"/>
  <c r="D33" i="7"/>
  <c r="P32" i="7"/>
  <c r="O32" i="7"/>
  <c r="N32" i="7"/>
  <c r="L32" i="7"/>
  <c r="K32" i="7"/>
  <c r="J32" i="7"/>
  <c r="I32" i="7"/>
  <c r="H32" i="7"/>
  <c r="G32" i="7"/>
  <c r="F32" i="7"/>
  <c r="D32" i="7"/>
  <c r="P31" i="7"/>
  <c r="O31" i="7"/>
  <c r="N31" i="7"/>
  <c r="L31" i="7"/>
  <c r="K31" i="7"/>
  <c r="J31" i="7"/>
  <c r="I31" i="7"/>
  <c r="H31" i="7"/>
  <c r="G31" i="7"/>
  <c r="F31" i="7"/>
  <c r="D31" i="7"/>
  <c r="P30" i="7"/>
  <c r="O30" i="7"/>
  <c r="N30" i="7"/>
  <c r="L30" i="7"/>
  <c r="K30" i="7"/>
  <c r="J30" i="7"/>
  <c r="I30" i="7"/>
  <c r="H30" i="7"/>
  <c r="G30" i="7"/>
  <c r="F30" i="7"/>
  <c r="D30" i="7"/>
  <c r="P29" i="7"/>
  <c r="O29" i="7"/>
  <c r="N29" i="7"/>
  <c r="L29" i="7"/>
  <c r="K29" i="7"/>
  <c r="J29" i="7"/>
  <c r="I29" i="7"/>
  <c r="H29" i="7"/>
  <c r="G29" i="7"/>
  <c r="F29" i="7"/>
  <c r="D29" i="7"/>
  <c r="P28" i="7"/>
  <c r="O28" i="7"/>
  <c r="N28" i="7"/>
  <c r="L28" i="7"/>
  <c r="K28" i="7"/>
  <c r="J28" i="7"/>
  <c r="I28" i="7"/>
  <c r="H28" i="7"/>
  <c r="G28" i="7"/>
  <c r="F28" i="7"/>
  <c r="D28" i="7"/>
  <c r="P27" i="7"/>
  <c r="O27" i="7"/>
  <c r="N27" i="7"/>
  <c r="L27" i="7"/>
  <c r="K27" i="7"/>
  <c r="J27" i="7"/>
  <c r="I27" i="7"/>
  <c r="H27" i="7"/>
  <c r="G27" i="7"/>
  <c r="F27" i="7"/>
  <c r="D27" i="7"/>
  <c r="P26" i="7"/>
  <c r="O26" i="7"/>
  <c r="N26" i="7"/>
  <c r="L26" i="7"/>
  <c r="K26" i="7"/>
  <c r="J26" i="7"/>
  <c r="I26" i="7"/>
  <c r="H26" i="7"/>
  <c r="G26" i="7"/>
  <c r="F26" i="7"/>
  <c r="D26" i="7"/>
  <c r="P25" i="7"/>
  <c r="O25" i="7"/>
  <c r="N25" i="7"/>
  <c r="L25" i="7"/>
  <c r="K25" i="7"/>
  <c r="J25" i="7"/>
  <c r="I25" i="7"/>
  <c r="H25" i="7"/>
  <c r="G25" i="7"/>
  <c r="F25" i="7"/>
  <c r="D25" i="7"/>
  <c r="P24" i="7"/>
  <c r="O24" i="7"/>
  <c r="N24" i="7"/>
  <c r="L24" i="7"/>
  <c r="K24" i="7"/>
  <c r="J24" i="7"/>
  <c r="I24" i="7"/>
  <c r="H24" i="7"/>
  <c r="G24" i="7"/>
  <c r="F24" i="7"/>
  <c r="D24" i="7"/>
  <c r="P23" i="7"/>
  <c r="O23" i="7"/>
  <c r="N23" i="7"/>
  <c r="L23" i="7"/>
  <c r="K23" i="7"/>
  <c r="J23" i="7"/>
  <c r="I23" i="7"/>
  <c r="H23" i="7"/>
  <c r="G23" i="7"/>
  <c r="F23" i="7"/>
  <c r="D23" i="7"/>
  <c r="P22" i="7"/>
  <c r="O22" i="7"/>
  <c r="N22" i="7"/>
  <c r="L22" i="7"/>
  <c r="K22" i="7"/>
  <c r="J22" i="7"/>
  <c r="I22" i="7"/>
  <c r="H22" i="7"/>
  <c r="G22" i="7"/>
  <c r="F22" i="7"/>
  <c r="D22" i="7"/>
  <c r="P21" i="7"/>
  <c r="O21" i="7"/>
  <c r="N21" i="7"/>
  <c r="L21" i="7"/>
  <c r="K21" i="7"/>
  <c r="J21" i="7"/>
  <c r="I21" i="7"/>
  <c r="H21" i="7"/>
  <c r="G21" i="7"/>
  <c r="F21" i="7"/>
  <c r="D21" i="7"/>
  <c r="P20" i="7"/>
  <c r="O20" i="7"/>
  <c r="N20" i="7"/>
  <c r="L20" i="7"/>
  <c r="K20" i="7"/>
  <c r="J20" i="7"/>
  <c r="I20" i="7"/>
  <c r="H20" i="7"/>
  <c r="G20" i="7"/>
  <c r="F20" i="7"/>
  <c r="D20" i="7"/>
  <c r="P19" i="7"/>
  <c r="O19" i="7"/>
  <c r="N19" i="7"/>
  <c r="L19" i="7"/>
  <c r="K19" i="7"/>
  <c r="J19" i="7"/>
  <c r="I19" i="7"/>
  <c r="H19" i="7"/>
  <c r="G19" i="7"/>
  <c r="F19" i="7"/>
  <c r="D19" i="7"/>
  <c r="P18" i="7"/>
  <c r="O18" i="7"/>
  <c r="N18" i="7"/>
  <c r="L18" i="7"/>
  <c r="K18" i="7"/>
  <c r="J18" i="7"/>
  <c r="I18" i="7"/>
  <c r="H18" i="7"/>
  <c r="G18" i="7"/>
  <c r="F18" i="7"/>
  <c r="D18" i="7"/>
  <c r="P17" i="7"/>
  <c r="O17" i="7"/>
  <c r="N17" i="7"/>
  <c r="L17" i="7"/>
  <c r="K17" i="7"/>
  <c r="J17" i="7"/>
  <c r="I17" i="7"/>
  <c r="H17" i="7"/>
  <c r="G17" i="7"/>
  <c r="F17" i="7"/>
  <c r="D17" i="7"/>
  <c r="P16" i="7"/>
  <c r="O16" i="7"/>
  <c r="N16" i="7"/>
  <c r="L16" i="7"/>
  <c r="K16" i="7"/>
  <c r="J16" i="7"/>
  <c r="I16" i="7"/>
  <c r="H16" i="7"/>
  <c r="G16" i="7"/>
  <c r="F16" i="7"/>
  <c r="D16" i="7"/>
  <c r="P15" i="7"/>
  <c r="O15" i="7"/>
  <c r="N15" i="7"/>
  <c r="L15" i="7"/>
  <c r="K15" i="7"/>
  <c r="J15" i="7"/>
  <c r="I15" i="7"/>
  <c r="H15" i="7"/>
  <c r="G15" i="7"/>
  <c r="F15" i="7"/>
  <c r="D15" i="7"/>
  <c r="P14" i="7"/>
  <c r="O14" i="7"/>
  <c r="N14" i="7"/>
  <c r="L14" i="7"/>
  <c r="K14" i="7"/>
  <c r="J14" i="7"/>
  <c r="I14" i="7"/>
  <c r="H14" i="7"/>
  <c r="G14" i="7"/>
  <c r="F14" i="7"/>
  <c r="D14" i="7"/>
  <c r="P13" i="7"/>
  <c r="O13" i="7"/>
  <c r="N13" i="7"/>
  <c r="L13" i="7"/>
  <c r="K13" i="7"/>
  <c r="J13" i="7"/>
  <c r="I13" i="7"/>
  <c r="H13" i="7"/>
  <c r="G13" i="7"/>
  <c r="F13" i="7"/>
  <c r="D13" i="7"/>
  <c r="P12" i="7"/>
  <c r="O12" i="7"/>
  <c r="N12" i="7"/>
  <c r="L12" i="7"/>
  <c r="K12" i="7"/>
  <c r="J12" i="7"/>
  <c r="I12" i="7"/>
  <c r="H12" i="7"/>
  <c r="G12" i="7"/>
  <c r="F12" i="7"/>
  <c r="D12" i="7"/>
  <c r="P11" i="7"/>
  <c r="O11" i="7"/>
  <c r="N11" i="7"/>
  <c r="L11" i="7"/>
  <c r="K11" i="7"/>
  <c r="J11" i="7"/>
  <c r="I11" i="7"/>
  <c r="H11" i="7"/>
  <c r="G11" i="7"/>
  <c r="F11" i="7"/>
  <c r="D11" i="7"/>
  <c r="P10" i="7"/>
  <c r="O10" i="7"/>
  <c r="N10" i="7"/>
  <c r="L10" i="7"/>
  <c r="K10" i="7"/>
  <c r="J10" i="7"/>
  <c r="I10" i="7"/>
  <c r="H10" i="7"/>
  <c r="G10" i="7"/>
  <c r="F10" i="7"/>
  <c r="D10" i="7"/>
  <c r="P9" i="7"/>
  <c r="O9" i="7"/>
  <c r="N9" i="7"/>
  <c r="L9" i="7"/>
  <c r="K9" i="7"/>
  <c r="J9" i="7"/>
  <c r="I9" i="7"/>
  <c r="H9" i="7"/>
  <c r="G9" i="7"/>
  <c r="F9" i="7"/>
  <c r="D9" i="7"/>
  <c r="P8" i="7"/>
  <c r="O8" i="7"/>
  <c r="N8" i="7"/>
  <c r="L8" i="7"/>
  <c r="K8" i="7"/>
  <c r="J8" i="7"/>
  <c r="I8" i="7"/>
  <c r="H8" i="7"/>
  <c r="G8" i="7"/>
  <c r="F8" i="7"/>
  <c r="D8" i="7"/>
  <c r="P7" i="7"/>
  <c r="O7" i="7"/>
  <c r="N7" i="7"/>
  <c r="L7" i="7"/>
  <c r="K7" i="7"/>
  <c r="J7" i="7"/>
  <c r="I7" i="7"/>
  <c r="H7" i="7"/>
  <c r="G7" i="7"/>
  <c r="F7" i="7"/>
  <c r="D7" i="7"/>
  <c r="P6" i="7"/>
  <c r="O6" i="7"/>
  <c r="N6" i="7"/>
  <c r="L6" i="7"/>
  <c r="K6" i="7"/>
  <c r="J6" i="7"/>
  <c r="I6" i="7"/>
  <c r="H6" i="7"/>
  <c r="G6" i="7"/>
  <c r="F6" i="7"/>
  <c r="D6" i="7"/>
  <c r="P5" i="7"/>
  <c r="O5" i="7"/>
  <c r="N5" i="7"/>
  <c r="L5" i="7"/>
  <c r="K5" i="7"/>
  <c r="J5" i="7"/>
  <c r="I5" i="7"/>
  <c r="H5" i="7"/>
  <c r="G5" i="7"/>
  <c r="F5" i="7"/>
  <c r="D5" i="7"/>
  <c r="P4" i="7"/>
  <c r="O4" i="7"/>
  <c r="N4" i="7"/>
  <c r="L4" i="7"/>
  <c r="K4" i="7"/>
  <c r="J4" i="7"/>
  <c r="I4" i="7"/>
  <c r="H4" i="7"/>
  <c r="G4" i="7"/>
  <c r="F4" i="7"/>
  <c r="D4" i="7"/>
  <c r="G10" i="6"/>
  <c r="C27" i="6" s="1"/>
  <c r="F10" i="6"/>
  <c r="C26" i="6" s="1"/>
  <c r="E10" i="6"/>
  <c r="D10" i="6"/>
  <c r="C24" i="6" s="1"/>
  <c r="C10" i="6"/>
  <c r="C23" i="6" s="1"/>
  <c r="G9" i="6"/>
  <c r="F9" i="6"/>
  <c r="E9" i="6"/>
  <c r="C18" i="6" s="1"/>
  <c r="D9" i="6"/>
  <c r="C9" i="6"/>
  <c r="G8" i="6"/>
  <c r="F8" i="6"/>
  <c r="E8" i="6"/>
  <c r="C17" i="6" s="1"/>
  <c r="D8" i="6"/>
  <c r="C8" i="6"/>
  <c r="G7" i="6"/>
  <c r="F7" i="6"/>
  <c r="E7" i="6"/>
  <c r="C16" i="6" s="1"/>
  <c r="D7" i="6"/>
  <c r="C7" i="6"/>
  <c r="G6" i="6"/>
  <c r="F6" i="6"/>
  <c r="E6" i="6"/>
  <c r="C15" i="6" s="1"/>
  <c r="D6" i="6"/>
  <c r="C6" i="6"/>
  <c r="G5" i="6"/>
  <c r="F5" i="6"/>
  <c r="E5" i="6"/>
  <c r="C14" i="6" s="1"/>
  <c r="D5" i="6"/>
  <c r="C5" i="6"/>
  <c r="C25" i="5"/>
  <c r="C20" i="5"/>
  <c r="C19" i="5"/>
  <c r="C16" i="5"/>
  <c r="C14" i="5"/>
  <c r="C13" i="5"/>
  <c r="E8" i="5"/>
  <c r="D8" i="5"/>
  <c r="F8" i="5" s="1"/>
  <c r="E7" i="5"/>
  <c r="D7" i="5"/>
  <c r="F7" i="5" s="1"/>
  <c r="E6" i="5"/>
  <c r="D6" i="5"/>
  <c r="F6" i="5" s="1"/>
  <c r="E5" i="5"/>
  <c r="D5" i="5"/>
  <c r="F5" i="5" s="1"/>
  <c r="F9" i="5" s="1"/>
  <c r="F16" i="4"/>
  <c r="F11" i="4"/>
  <c r="E11" i="4"/>
  <c r="D11" i="4"/>
  <c r="C11" i="4"/>
  <c r="F8" i="4"/>
  <c r="E8" i="4"/>
  <c r="D8" i="4"/>
  <c r="F7" i="4"/>
  <c r="E7" i="4"/>
  <c r="D7" i="4"/>
  <c r="D9" i="4" s="1"/>
  <c r="D13" i="4" s="1"/>
  <c r="C7" i="4"/>
  <c r="C9" i="4" s="1"/>
  <c r="C13" i="4" s="1"/>
  <c r="F6" i="4"/>
  <c r="F9" i="4" s="1"/>
  <c r="F13" i="4" s="1"/>
  <c r="E6" i="4"/>
  <c r="E9" i="4" s="1"/>
  <c r="E13" i="4" s="1"/>
  <c r="D17" i="3"/>
  <c r="E17" i="3" s="1"/>
  <c r="F17" i="3" s="1"/>
  <c r="C17" i="3"/>
  <c r="D16" i="3"/>
  <c r="E16" i="3" s="1"/>
  <c r="F16" i="3" s="1"/>
  <c r="C16" i="3"/>
  <c r="D15" i="3"/>
  <c r="E15" i="3" s="1"/>
  <c r="F15" i="3" s="1"/>
  <c r="C15" i="3"/>
  <c r="D13" i="3"/>
  <c r="E13" i="3" s="1"/>
  <c r="F13" i="3" s="1"/>
  <c r="C13" i="3"/>
  <c r="D12" i="3"/>
  <c r="E12" i="3" s="1"/>
  <c r="F12" i="3" s="1"/>
  <c r="C12" i="3"/>
  <c r="D11" i="3"/>
  <c r="C11" i="3"/>
  <c r="F8" i="3"/>
  <c r="E8" i="3"/>
  <c r="D8" i="3"/>
  <c r="C8" i="3"/>
  <c r="F7" i="3"/>
  <c r="E7" i="3"/>
  <c r="D7" i="3"/>
  <c r="C7" i="3"/>
  <c r="F6" i="3"/>
  <c r="E6" i="3"/>
  <c r="D6" i="3"/>
  <c r="C6" i="3"/>
  <c r="G13" i="2"/>
  <c r="F13" i="2"/>
  <c r="E13" i="2"/>
  <c r="D13" i="2"/>
  <c r="C13" i="2"/>
  <c r="D18" i="6" l="1"/>
  <c r="D17" i="6"/>
  <c r="D15" i="6"/>
  <c r="D14" i="6"/>
  <c r="D23" i="6"/>
  <c r="D24" i="6"/>
  <c r="D16" i="6"/>
  <c r="D27" i="6"/>
  <c r="D26" i="6"/>
  <c r="X33" i="7"/>
  <c r="T33" i="7"/>
  <c r="AB33" i="7" s="1"/>
  <c r="W33" i="7"/>
  <c r="S33" i="7"/>
  <c r="AA33" i="7" s="1"/>
  <c r="V33" i="7"/>
  <c r="R33" i="7"/>
  <c r="M33" i="7"/>
  <c r="E33" i="7"/>
  <c r="X32" i="7"/>
  <c r="T32" i="7"/>
  <c r="AB32" i="7" s="1"/>
  <c r="W32" i="7"/>
  <c r="S32" i="7"/>
  <c r="AA32" i="7" s="1"/>
  <c r="V32" i="7"/>
  <c r="R32" i="7"/>
  <c r="Z32" i="7" s="1"/>
  <c r="M32" i="7"/>
  <c r="E32" i="7"/>
  <c r="X31" i="7"/>
  <c r="T31" i="7"/>
  <c r="AB31" i="7" s="1"/>
  <c r="S31" i="7"/>
  <c r="W31" i="7"/>
  <c r="R31" i="7"/>
  <c r="V31" i="7"/>
  <c r="M31" i="7"/>
  <c r="E31" i="7"/>
  <c r="T30" i="7"/>
  <c r="X30" i="7"/>
  <c r="S30" i="7"/>
  <c r="W30" i="7"/>
  <c r="V30" i="7"/>
  <c r="R30" i="7"/>
  <c r="E30" i="7"/>
  <c r="M30" i="7"/>
  <c r="X29" i="7"/>
  <c r="T29" i="7"/>
  <c r="W29" i="7"/>
  <c r="S29" i="7"/>
  <c r="AA29" i="7" s="1"/>
  <c r="V29" i="7"/>
  <c r="R29" i="7"/>
  <c r="Z29" i="7" s="1"/>
  <c r="E29" i="7"/>
  <c r="M29" i="7"/>
  <c r="T28" i="7"/>
  <c r="X28" i="7"/>
  <c r="W28" i="7"/>
  <c r="S28" i="7"/>
  <c r="AA28" i="7" s="1"/>
  <c r="V28" i="7"/>
  <c r="R28" i="7"/>
  <c r="Z28" i="7" s="1"/>
  <c r="E28" i="7"/>
  <c r="M28" i="7"/>
  <c r="T27" i="7"/>
  <c r="X27" i="7"/>
  <c r="S27" i="7"/>
  <c r="W27" i="7"/>
  <c r="V27" i="7"/>
  <c r="R27" i="7"/>
  <c r="Z27" i="7" s="1"/>
  <c r="E27" i="7"/>
  <c r="M27" i="7"/>
  <c r="X26" i="7"/>
  <c r="T26" i="7"/>
  <c r="W26" i="7"/>
  <c r="S26" i="7"/>
  <c r="R26" i="7"/>
  <c r="V26" i="7"/>
  <c r="E26" i="7"/>
  <c r="M26" i="7"/>
  <c r="T25" i="7"/>
  <c r="X25" i="7"/>
  <c r="S25" i="7"/>
  <c r="W25" i="7"/>
  <c r="V25" i="7"/>
  <c r="R25" i="7"/>
  <c r="Z25" i="7" s="1"/>
  <c r="M25" i="7"/>
  <c r="E25" i="7"/>
  <c r="T24" i="7"/>
  <c r="X24" i="7"/>
  <c r="S24" i="7"/>
  <c r="W24" i="7"/>
  <c r="V24" i="7"/>
  <c r="R24" i="7"/>
  <c r="Z24" i="7" s="1"/>
  <c r="M24" i="7"/>
  <c r="E24" i="7"/>
  <c r="X23" i="7"/>
  <c r="T23" i="7"/>
  <c r="S23" i="7"/>
  <c r="W23" i="7"/>
  <c r="V23" i="7"/>
  <c r="R23" i="7"/>
  <c r="M23" i="7"/>
  <c r="E23" i="7"/>
  <c r="T22" i="7"/>
  <c r="X22" i="7"/>
  <c r="W22" i="7"/>
  <c r="S22" i="7"/>
  <c r="AA22" i="7" s="1"/>
  <c r="V22" i="7"/>
  <c r="R22" i="7"/>
  <c r="Z22" i="7" s="1"/>
  <c r="E22" i="7"/>
  <c r="M22" i="7"/>
  <c r="X21" i="7"/>
  <c r="T21" i="7"/>
  <c r="S21" i="7"/>
  <c r="W21" i="7"/>
  <c r="R21" i="7"/>
  <c r="V21" i="7"/>
  <c r="M21" i="7"/>
  <c r="E21" i="7"/>
  <c r="T20" i="7"/>
  <c r="X20" i="7"/>
  <c r="S20" i="7"/>
  <c r="W20" i="7"/>
  <c r="R20" i="7"/>
  <c r="V20" i="7"/>
  <c r="E20" i="7"/>
  <c r="M20" i="7"/>
  <c r="T19" i="7"/>
  <c r="X19" i="7"/>
  <c r="S19" i="7"/>
  <c r="W19" i="7"/>
  <c r="R19" i="7"/>
  <c r="V19" i="7"/>
  <c r="E19" i="7"/>
  <c r="M19" i="7"/>
  <c r="T18" i="7"/>
  <c r="X18" i="7"/>
  <c r="W18" i="7"/>
  <c r="S18" i="7"/>
  <c r="AA18" i="7" s="1"/>
  <c r="R18" i="7"/>
  <c r="V18" i="7"/>
  <c r="E18" i="7"/>
  <c r="M18" i="7"/>
  <c r="T17" i="7"/>
  <c r="X17" i="7"/>
  <c r="W17" i="7"/>
  <c r="S17" i="7"/>
  <c r="AA17" i="7" s="1"/>
  <c r="R17" i="7"/>
  <c r="V17" i="7"/>
  <c r="E17" i="7"/>
  <c r="M17" i="7"/>
  <c r="X16" i="7"/>
  <c r="T16" i="7"/>
  <c r="AB16" i="7" s="1"/>
  <c r="W16" i="7"/>
  <c r="S16" i="7"/>
  <c r="R16" i="7"/>
  <c r="V16" i="7"/>
  <c r="E16" i="7"/>
  <c r="M16" i="7"/>
  <c r="X15" i="7"/>
  <c r="T15" i="7"/>
  <c r="AB15" i="7" s="1"/>
  <c r="W15" i="7"/>
  <c r="S15" i="7"/>
  <c r="AA15" i="7" s="1"/>
  <c r="R15" i="7"/>
  <c r="V15" i="7"/>
  <c r="M15" i="7"/>
  <c r="E15" i="7"/>
  <c r="T14" i="7"/>
  <c r="X14" i="7"/>
  <c r="W14" i="7"/>
  <c r="S14" i="7"/>
  <c r="AA14" i="7" s="1"/>
  <c r="V14" i="7"/>
  <c r="R14" i="7"/>
  <c r="Z14" i="7" s="1"/>
  <c r="E14" i="7"/>
  <c r="M14" i="7"/>
  <c r="X13" i="7"/>
  <c r="T13" i="7"/>
  <c r="AB13" i="7" s="1"/>
  <c r="S13" i="7"/>
  <c r="W13" i="7"/>
  <c r="V13" i="7"/>
  <c r="R13" i="7"/>
  <c r="Z13" i="7" s="1"/>
  <c r="E13" i="7"/>
  <c r="M13" i="7"/>
  <c r="X12" i="7"/>
  <c r="T12" i="7"/>
  <c r="AB12" i="7" s="1"/>
  <c r="W12" i="7"/>
  <c r="S12" i="7"/>
  <c r="AA12" i="7" s="1"/>
  <c r="R12" i="7"/>
  <c r="V12" i="7"/>
  <c r="E12" i="7"/>
  <c r="M12" i="7"/>
  <c r="X11" i="7"/>
  <c r="T11" i="7"/>
  <c r="AB11" i="7" s="1"/>
  <c r="W11" i="7"/>
  <c r="S11" i="7"/>
  <c r="R11" i="7"/>
  <c r="V11" i="7"/>
  <c r="M11" i="7"/>
  <c r="E11" i="7"/>
  <c r="T10" i="7"/>
  <c r="X10" i="7"/>
  <c r="S10" i="7"/>
  <c r="W10" i="7"/>
  <c r="V10" i="7"/>
  <c r="R10" i="7"/>
  <c r="Z10" i="7" s="1"/>
  <c r="E10" i="7"/>
  <c r="M10" i="7"/>
  <c r="X9" i="7"/>
  <c r="T9" i="7"/>
  <c r="W9" i="7"/>
  <c r="S9" i="7"/>
  <c r="R9" i="7"/>
  <c r="V9" i="7"/>
  <c r="E9" i="7"/>
  <c r="M9" i="7"/>
  <c r="X8" i="7"/>
  <c r="T8" i="7"/>
  <c r="AB8" i="7" s="1"/>
  <c r="W8" i="7"/>
  <c r="S8" i="7"/>
  <c r="AA8" i="7" s="1"/>
  <c r="V8" i="7"/>
  <c r="R8" i="7"/>
  <c r="Z8" i="7" s="1"/>
  <c r="M8" i="7"/>
  <c r="E8" i="7"/>
  <c r="T7" i="7"/>
  <c r="X7" i="7"/>
  <c r="W7" i="7"/>
  <c r="S7" i="7"/>
  <c r="AA7" i="7" s="1"/>
  <c r="V7" i="7"/>
  <c r="R7" i="7"/>
  <c r="E7" i="7"/>
  <c r="M7" i="7"/>
  <c r="T6" i="7"/>
  <c r="X6" i="7"/>
  <c r="S6" i="7"/>
  <c r="W6" i="7"/>
  <c r="V6" i="7"/>
  <c r="R6" i="7"/>
  <c r="Z6" i="7" s="1"/>
  <c r="M6" i="7"/>
  <c r="E6" i="7"/>
  <c r="T5" i="7"/>
  <c r="X5" i="7"/>
  <c r="S5" i="7"/>
  <c r="W5" i="7"/>
  <c r="V5" i="7"/>
  <c r="R5" i="7"/>
  <c r="E5" i="7"/>
  <c r="M5" i="7"/>
  <c r="T4" i="7"/>
  <c r="X4" i="7"/>
  <c r="W4" i="7"/>
  <c r="S4" i="7"/>
  <c r="V4" i="7"/>
  <c r="R4" i="7"/>
  <c r="E4" i="7"/>
  <c r="M4" i="7"/>
  <c r="C25" i="6"/>
  <c r="D25" i="6" s="1"/>
  <c r="C19" i="6"/>
  <c r="D19" i="6" s="1"/>
  <c r="C12" i="5"/>
  <c r="C15" i="5" s="1"/>
  <c r="C17" i="5" s="1"/>
  <c r="E11" i="3"/>
  <c r="F14" i="3"/>
  <c r="F9" i="3"/>
  <c r="F31" i="3" s="1"/>
  <c r="E9" i="3"/>
  <c r="E31" i="3" s="1"/>
  <c r="E14" i="3"/>
  <c r="D14" i="3"/>
  <c r="D18" i="3" s="1"/>
  <c r="D9" i="3"/>
  <c r="D31" i="3" s="1"/>
  <c r="C9" i="3"/>
  <c r="C31" i="3" s="1"/>
  <c r="C14" i="3"/>
  <c r="C18" i="3" s="1"/>
  <c r="AA5" i="7" l="1"/>
  <c r="AB4" i="7"/>
  <c r="AA16" i="7"/>
  <c r="D20" i="3"/>
  <c r="AB26" i="7"/>
  <c r="Z7" i="7"/>
  <c r="AD7" i="7" s="1"/>
  <c r="AH7" i="7" s="1"/>
  <c r="Z4" i="7"/>
  <c r="AB23" i="7"/>
  <c r="Z21" i="7"/>
  <c r="AB9" i="7"/>
  <c r="Z5" i="7"/>
  <c r="AA21" i="7"/>
  <c r="AA27" i="7"/>
  <c r="AE27" i="7" s="1"/>
  <c r="AI27" i="7" s="1"/>
  <c r="AB25" i="7"/>
  <c r="AA23" i="7"/>
  <c r="AA9" i="7"/>
  <c r="AF33" i="7"/>
  <c r="AJ33" i="7" s="1"/>
  <c r="AK33" i="7" s="1"/>
  <c r="AE33" i="7"/>
  <c r="AI33" i="7"/>
  <c r="Q33" i="7"/>
  <c r="U33" i="7"/>
  <c r="AF32" i="7"/>
  <c r="AJ32" i="7" s="1"/>
  <c r="AK32" i="7" s="1"/>
  <c r="AE32" i="7"/>
  <c r="AI32" i="7" s="1"/>
  <c r="AD32" i="7"/>
  <c r="AH32" i="7"/>
  <c r="Q32" i="7"/>
  <c r="U32" i="7"/>
  <c r="AF31" i="7"/>
  <c r="AJ31" i="7" s="1"/>
  <c r="AK31" i="7" s="1"/>
  <c r="Q31" i="7"/>
  <c r="U31" i="7"/>
  <c r="Q30" i="7"/>
  <c r="U30" i="7"/>
  <c r="AE29" i="7"/>
  <c r="AI29" i="7"/>
  <c r="AD29" i="7"/>
  <c r="AH29" i="7"/>
  <c r="U29" i="7"/>
  <c r="Q29" i="7"/>
  <c r="Y29" i="7" s="1"/>
  <c r="AE28" i="7"/>
  <c r="AI28" i="7"/>
  <c r="AD28" i="7"/>
  <c r="AH28" i="7"/>
  <c r="U28" i="7"/>
  <c r="Q28" i="7"/>
  <c r="Y28" i="7" s="1"/>
  <c r="AD27" i="7"/>
  <c r="AH27" i="7" s="1"/>
  <c r="Q27" i="7"/>
  <c r="U27" i="7"/>
  <c r="Q26" i="7"/>
  <c r="U26" i="7"/>
  <c r="AD25" i="7"/>
  <c r="AH25" i="7" s="1"/>
  <c r="Q25" i="7"/>
  <c r="U25" i="7"/>
  <c r="AD24" i="7"/>
  <c r="AH24" i="7" s="1"/>
  <c r="U24" i="7"/>
  <c r="Q24" i="7"/>
  <c r="Y24" i="7" s="1"/>
  <c r="Q23" i="7"/>
  <c r="U23" i="7"/>
  <c r="AE22" i="7"/>
  <c r="AI22" i="7"/>
  <c r="AD22" i="7"/>
  <c r="AH22" i="7"/>
  <c r="Q22" i="7"/>
  <c r="U22" i="7"/>
  <c r="Q21" i="7"/>
  <c r="U21" i="7"/>
  <c r="Q20" i="7"/>
  <c r="U20" i="7"/>
  <c r="Q19" i="7"/>
  <c r="U19" i="7"/>
  <c r="AE18" i="7"/>
  <c r="AI18" i="7"/>
  <c r="Q18" i="7"/>
  <c r="U18" i="7"/>
  <c r="AE17" i="7"/>
  <c r="AI17" i="7" s="1"/>
  <c r="Q17" i="7"/>
  <c r="U17" i="7"/>
  <c r="AF16" i="7"/>
  <c r="AJ16" i="7" s="1"/>
  <c r="AK16" i="7" s="1"/>
  <c r="AE16" i="7"/>
  <c r="AI16" i="7"/>
  <c r="Q16" i="7"/>
  <c r="U16" i="7"/>
  <c r="AF15" i="7"/>
  <c r="AJ15" i="7" s="1"/>
  <c r="AK15" i="7" s="1"/>
  <c r="AE15" i="7"/>
  <c r="AI15" i="7" s="1"/>
  <c r="Q15" i="7"/>
  <c r="U15" i="7"/>
  <c r="AE14" i="7"/>
  <c r="AI14" i="7"/>
  <c r="AD14" i="7"/>
  <c r="AH14" i="7"/>
  <c r="Q14" i="7"/>
  <c r="U14" i="7"/>
  <c r="AF13" i="7"/>
  <c r="AJ13" i="7"/>
  <c r="AK13" i="7" s="1"/>
  <c r="AD13" i="7"/>
  <c r="AH13" i="7" s="1"/>
  <c r="Q13" i="7"/>
  <c r="U13" i="7"/>
  <c r="AF12" i="7"/>
  <c r="AJ12" i="7"/>
  <c r="AK12" i="7" s="1"/>
  <c r="AE12" i="7"/>
  <c r="AI12" i="7"/>
  <c r="Q12" i="7"/>
  <c r="U12" i="7"/>
  <c r="AF11" i="7"/>
  <c r="AJ11" i="7"/>
  <c r="AK11" i="7" s="1"/>
  <c r="Q11" i="7"/>
  <c r="U11" i="7"/>
  <c r="AD10" i="7"/>
  <c r="AH10" i="7"/>
  <c r="Q10" i="7"/>
  <c r="U10" i="7"/>
  <c r="Q9" i="7"/>
  <c r="U9" i="7"/>
  <c r="AF8" i="7"/>
  <c r="AJ8" i="7"/>
  <c r="AK8" i="7" s="1"/>
  <c r="AE8" i="7"/>
  <c r="AI8" i="7" s="1"/>
  <c r="AD8" i="7"/>
  <c r="AH8" i="7" s="1"/>
  <c r="Q8" i="7"/>
  <c r="U8" i="7"/>
  <c r="AE7" i="7"/>
  <c r="AI7" i="7"/>
  <c r="U7" i="7"/>
  <c r="Q7" i="7"/>
  <c r="Y7" i="7" s="1"/>
  <c r="AD6" i="7"/>
  <c r="AH6" i="7" s="1"/>
  <c r="Q6" i="7"/>
  <c r="U6" i="7"/>
  <c r="AE5" i="7"/>
  <c r="AI5" i="7" s="1"/>
  <c r="Q5" i="7"/>
  <c r="U5" i="7"/>
  <c r="AF4" i="7"/>
  <c r="AJ4" i="7"/>
  <c r="AK4" i="7" s="1"/>
  <c r="Q4" i="7"/>
  <c r="U4" i="7"/>
  <c r="C21" i="5"/>
  <c r="C18" i="5"/>
  <c r="F11" i="3"/>
  <c r="F18" i="3" s="1"/>
  <c r="F20" i="3" s="1"/>
  <c r="E18" i="3"/>
  <c r="E20" i="3" s="1"/>
  <c r="D21" i="3"/>
  <c r="D22" i="3"/>
  <c r="D26" i="3" s="1"/>
  <c r="D32" i="3"/>
  <c r="AA19" i="7"/>
  <c r="Z19" i="7"/>
  <c r="AB18" i="7"/>
  <c r="Z18" i="7"/>
  <c r="AB17" i="7"/>
  <c r="Z17" i="7"/>
  <c r="Z16" i="7"/>
  <c r="Z15" i="7"/>
  <c r="AB14" i="7"/>
  <c r="AA13" i="7"/>
  <c r="Z12" i="7"/>
  <c r="AB6" i="7"/>
  <c r="AA6" i="7"/>
  <c r="AB5" i="7"/>
  <c r="AA4" i="7"/>
  <c r="C20" i="3"/>
  <c r="Z33" i="7"/>
  <c r="Z31" i="7"/>
  <c r="AB30" i="7"/>
  <c r="AA30" i="7"/>
  <c r="Z30" i="7"/>
  <c r="AB29" i="7"/>
  <c r="AB28" i="7"/>
  <c r="AB27" i="7"/>
  <c r="AA26" i="7"/>
  <c r="Z26" i="7"/>
  <c r="AA24" i="7"/>
  <c r="Z23" i="7"/>
  <c r="AB22" i="7"/>
  <c r="AB21" i="7"/>
  <c r="AB20" i="7"/>
  <c r="AA20" i="7"/>
  <c r="Z20" i="7"/>
  <c r="AA11" i="7"/>
  <c r="Z11" i="7"/>
  <c r="AB10" i="7"/>
  <c r="AA10" i="7"/>
  <c r="Z9" i="7"/>
  <c r="AB7" i="7"/>
  <c r="AA31" i="7"/>
  <c r="AA25" i="7"/>
  <c r="AB24" i="7"/>
  <c r="AB19" i="7"/>
  <c r="AF26" i="7" l="1"/>
  <c r="AJ26" i="7" s="1"/>
  <c r="AK26" i="7" s="1"/>
  <c r="AD4" i="7"/>
  <c r="AH4" i="7"/>
  <c r="AF23" i="7"/>
  <c r="AJ23" i="7"/>
  <c r="AK23" i="7" s="1"/>
  <c r="AD21" i="7"/>
  <c r="AH21" i="7"/>
  <c r="AF9" i="7"/>
  <c r="AJ9" i="7" s="1"/>
  <c r="AK9" i="7" s="1"/>
  <c r="AD5" i="7"/>
  <c r="AH5" i="7"/>
  <c r="AE21" i="7"/>
  <c r="AI21" i="7" s="1"/>
  <c r="AF25" i="7"/>
  <c r="AJ25" i="7"/>
  <c r="AK25" i="7" s="1"/>
  <c r="AE23" i="7"/>
  <c r="AI23" i="7"/>
  <c r="AE9" i="7"/>
  <c r="AI9" i="7" s="1"/>
  <c r="Y27" i="7"/>
  <c r="Y23" i="7"/>
  <c r="Y22" i="7"/>
  <c r="Y17" i="7"/>
  <c r="F21" i="3"/>
  <c r="F32" i="3"/>
  <c r="F22" i="3"/>
  <c r="E21" i="3"/>
  <c r="E22" i="3"/>
  <c r="E26" i="3" s="1"/>
  <c r="E32" i="3"/>
  <c r="AC29" i="7"/>
  <c r="AG29" i="7" s="1"/>
  <c r="AC28" i="7"/>
  <c r="AG28" i="7" s="1"/>
  <c r="AC27" i="7"/>
  <c r="AG27" i="7"/>
  <c r="AC24" i="7"/>
  <c r="AG24" i="7" s="1"/>
  <c r="AC23" i="7"/>
  <c r="AG23" i="7" s="1"/>
  <c r="AC22" i="7"/>
  <c r="AG22" i="7"/>
  <c r="AC17" i="7"/>
  <c r="AG17" i="7" s="1"/>
  <c r="AC7" i="7"/>
  <c r="AG7" i="7"/>
  <c r="C26" i="5"/>
  <c r="C28" i="5"/>
  <c r="C24" i="5"/>
  <c r="C27" i="5"/>
  <c r="AE19" i="7"/>
  <c r="AI19" i="7" s="1"/>
  <c r="AD19" i="7"/>
  <c r="AH19" i="7"/>
  <c r="AF18" i="7"/>
  <c r="AJ18" i="7"/>
  <c r="AK18" i="7" s="1"/>
  <c r="AD18" i="7"/>
  <c r="AH18" i="7" s="1"/>
  <c r="AF17" i="7"/>
  <c r="AJ17" i="7" s="1"/>
  <c r="AK17" i="7" s="1"/>
  <c r="AD17" i="7"/>
  <c r="AH17" i="7" s="1"/>
  <c r="AD16" i="7"/>
  <c r="AH16" i="7"/>
  <c r="AD15" i="7"/>
  <c r="AH15" i="7" s="1"/>
  <c r="AF14" i="7"/>
  <c r="AJ14" i="7" s="1"/>
  <c r="AK14" i="7" s="1"/>
  <c r="AE13" i="7"/>
  <c r="AI13" i="7" s="1"/>
  <c r="AD12" i="7"/>
  <c r="AH12" i="7" s="1"/>
  <c r="AF6" i="7"/>
  <c r="AJ6" i="7" s="1"/>
  <c r="AK6" i="7" s="1"/>
  <c r="AE6" i="7"/>
  <c r="AI6" i="7" s="1"/>
  <c r="AF5" i="7"/>
  <c r="AJ5" i="7" s="1"/>
  <c r="AK5" i="7" s="1"/>
  <c r="AE4" i="7"/>
  <c r="AI4" i="7" s="1"/>
  <c r="C32" i="3"/>
  <c r="C21" i="3"/>
  <c r="C22" i="3" s="1"/>
  <c r="C26" i="3" s="1"/>
  <c r="AD33" i="7"/>
  <c r="AH33" i="7" s="1"/>
  <c r="AD31" i="7"/>
  <c r="AH31" i="7" s="1"/>
  <c r="AF30" i="7"/>
  <c r="AJ30" i="7" s="1"/>
  <c r="AK30" i="7" s="1"/>
  <c r="AE30" i="7"/>
  <c r="AI30" i="7" s="1"/>
  <c r="AD30" i="7"/>
  <c r="AH30" i="7" s="1"/>
  <c r="AF29" i="7"/>
  <c r="AJ29" i="7" s="1"/>
  <c r="AK29" i="7" s="1"/>
  <c r="AF28" i="7"/>
  <c r="AJ28" i="7" s="1"/>
  <c r="AK28" i="7" s="1"/>
  <c r="AF27" i="7"/>
  <c r="AJ27" i="7" s="1"/>
  <c r="AE26" i="7"/>
  <c r="AI26" i="7" s="1"/>
  <c r="AD26" i="7"/>
  <c r="AH26" i="7" s="1"/>
  <c r="AE24" i="7"/>
  <c r="AI24" i="7"/>
  <c r="AD23" i="7"/>
  <c r="AH23" i="7" s="1"/>
  <c r="AF22" i="7"/>
  <c r="AJ22" i="7"/>
  <c r="AK22" i="7" s="1"/>
  <c r="AF21" i="7"/>
  <c r="AJ21" i="7" s="1"/>
  <c r="AK21" i="7" s="1"/>
  <c r="AF20" i="7"/>
  <c r="AJ20" i="7" s="1"/>
  <c r="AK20" i="7" s="1"/>
  <c r="AE20" i="7"/>
  <c r="AI20" i="7"/>
  <c r="AD20" i="7"/>
  <c r="AH20" i="7" s="1"/>
  <c r="AE11" i="7"/>
  <c r="AI11" i="7" s="1"/>
  <c r="AD11" i="7"/>
  <c r="AH11" i="7" s="1"/>
  <c r="AF10" i="7"/>
  <c r="AJ10" i="7" s="1"/>
  <c r="AK10" i="7" s="1"/>
  <c r="AE10" i="7"/>
  <c r="AI10" i="7" s="1"/>
  <c r="AD9" i="7"/>
  <c r="AH9" i="7"/>
  <c r="AF7" i="7"/>
  <c r="AJ7" i="7" s="1"/>
  <c r="AE31" i="7"/>
  <c r="AI31" i="7" s="1"/>
  <c r="AE25" i="7"/>
  <c r="AI25" i="7" s="1"/>
  <c r="AF24" i="7"/>
  <c r="AJ24" i="7" s="1"/>
  <c r="AK24" i="7" s="1"/>
  <c r="AF19" i="7"/>
  <c r="AJ19" i="7" s="1"/>
  <c r="AK19" i="7" s="1"/>
  <c r="Y21" i="7"/>
  <c r="Y20" i="7"/>
  <c r="Y19" i="7"/>
  <c r="Y18" i="7"/>
  <c r="Y15" i="7"/>
  <c r="Y14" i="7"/>
  <c r="Y13" i="7"/>
  <c r="Y12" i="7"/>
  <c r="Y11" i="7"/>
  <c r="Y10" i="7"/>
  <c r="Y9" i="7"/>
  <c r="Y8" i="7"/>
  <c r="Y6" i="7"/>
  <c r="Y5" i="7"/>
  <c r="Y33" i="7"/>
  <c r="Y32" i="7"/>
  <c r="Y30" i="7"/>
  <c r="Y25" i="7"/>
  <c r="Y16" i="7"/>
  <c r="Y4" i="7"/>
  <c r="Y31" i="7"/>
  <c r="Y26" i="7"/>
  <c r="AL28" i="7" l="1"/>
  <c r="AM28" i="7" s="1"/>
  <c r="AL29" i="7"/>
  <c r="AM29" i="7" s="1"/>
  <c r="AL22" i="7"/>
  <c r="AM22" i="7" s="1"/>
  <c r="F24" i="3"/>
  <c r="F26" i="3" s="1"/>
  <c r="AC21" i="7"/>
  <c r="AG21" i="7" s="1"/>
  <c r="AL21" i="7" s="1"/>
  <c r="AM21" i="7" s="1"/>
  <c r="AC20" i="7"/>
  <c r="AG20" i="7" s="1"/>
  <c r="AL20" i="7" s="1"/>
  <c r="AM20" i="7" s="1"/>
  <c r="AC19" i="7"/>
  <c r="AG19" i="7" s="1"/>
  <c r="AL19" i="7" s="1"/>
  <c r="AM19" i="7" s="1"/>
  <c r="AC18" i="7"/>
  <c r="AG18" i="7" s="1"/>
  <c r="AL18" i="7" s="1"/>
  <c r="AM18" i="7" s="1"/>
  <c r="AC15" i="7"/>
  <c r="AG15" i="7" s="1"/>
  <c r="AL15" i="7" s="1"/>
  <c r="AM15" i="7" s="1"/>
  <c r="AC14" i="7"/>
  <c r="AG14" i="7" s="1"/>
  <c r="AL14" i="7" s="1"/>
  <c r="AM14" i="7" s="1"/>
  <c r="AC13" i="7"/>
  <c r="AG13" i="7" s="1"/>
  <c r="AL13" i="7" s="1"/>
  <c r="AM13" i="7" s="1"/>
  <c r="AC12" i="7"/>
  <c r="AG12" i="7" s="1"/>
  <c r="AL12" i="7" s="1"/>
  <c r="AM12" i="7" s="1"/>
  <c r="AC11" i="7"/>
  <c r="AG11" i="7"/>
  <c r="AL11" i="7" s="1"/>
  <c r="AM11" i="7" s="1"/>
  <c r="AC10" i="7"/>
  <c r="AG10" i="7" s="1"/>
  <c r="AL10" i="7" s="1"/>
  <c r="AM10" i="7" s="1"/>
  <c r="AC9" i="7"/>
  <c r="AG9" i="7" s="1"/>
  <c r="AL9" i="7" s="1"/>
  <c r="AM9" i="7" s="1"/>
  <c r="AC8" i="7"/>
  <c r="AG8" i="7" s="1"/>
  <c r="AL8" i="7" s="1"/>
  <c r="AM8" i="7" s="1"/>
  <c r="AC6" i="7"/>
  <c r="AG6" i="7" s="1"/>
  <c r="AL6" i="7" s="1"/>
  <c r="AM6" i="7" s="1"/>
  <c r="AC5" i="7"/>
  <c r="AG5" i="7" s="1"/>
  <c r="AL5" i="7" s="1"/>
  <c r="AM5" i="7" s="1"/>
  <c r="AC33" i="7"/>
  <c r="AG33" i="7" s="1"/>
  <c r="AL33" i="7" s="1"/>
  <c r="AM33" i="7" s="1"/>
  <c r="AC32" i="7"/>
  <c r="AG32" i="7" s="1"/>
  <c r="AL32" i="7" s="1"/>
  <c r="AM32" i="7" s="1"/>
  <c r="AC30" i="7"/>
  <c r="AG30" i="7" s="1"/>
  <c r="AL30" i="7" s="1"/>
  <c r="AM30" i="7" s="1"/>
  <c r="AC25" i="7"/>
  <c r="AG25" i="7" s="1"/>
  <c r="AL25" i="7" s="1"/>
  <c r="AM25" i="7" s="1"/>
  <c r="AC16" i="7"/>
  <c r="AG16" i="7" s="1"/>
  <c r="AL16" i="7" s="1"/>
  <c r="AM16" i="7" s="1"/>
  <c r="AC4" i="7"/>
  <c r="AG4" i="7" s="1"/>
  <c r="AL4" i="7" s="1"/>
  <c r="AM4" i="7" s="1"/>
  <c r="AC31" i="7"/>
  <c r="AG31" i="7" s="1"/>
  <c r="AL31" i="7" s="1"/>
  <c r="AM31" i="7" s="1"/>
  <c r="AC26" i="7"/>
  <c r="AG26" i="7"/>
  <c r="AL26" i="7" s="1"/>
  <c r="AM26" i="7" s="1"/>
  <c r="AL24" i="7"/>
  <c r="AM24" i="7" s="1"/>
  <c r="AK27" i="7"/>
  <c r="AL27" i="7" s="1"/>
  <c r="AM27" i="7" s="1"/>
  <c r="AK7" i="7"/>
  <c r="AL7" i="7" s="1"/>
  <c r="AM7" i="7" s="1"/>
  <c r="AL23" i="7"/>
  <c r="AM23" i="7" s="1"/>
  <c r="AL17" i="7"/>
  <c r="AM17" i="7" s="1"/>
</calcChain>
</file>

<file path=xl/sharedStrings.xml><?xml version="1.0" encoding="utf-8"?>
<sst xmlns="http://schemas.openxmlformats.org/spreadsheetml/2006/main" count="299" uniqueCount="259">
  <si>
    <t>宁波怡丰汇商业项目</t>
  </si>
  <si>
    <t>工程经济学 2025 Case Study  –  投资分析报告</t>
  </si>
  <si>
    <t>本工作簿包含以下内容：</t>
  </si>
  <si>
    <t xml:space="preserve">  Step 1：现金流模型（年度）（见"年度现金流"工作表）</t>
  </si>
  <si>
    <t xml:space="preserve">  Step 1+：季度现金流（2026年）（见"季度现金流"工作表）</t>
  </si>
  <si>
    <t xml:space="preserve">  Step 2：收购价格估算（见"收购价格"工作表）</t>
  </si>
  <si>
    <t xml:space="preserve">  Step 3：敏感性分析（见"敏感性分析"工作表）</t>
  </si>
  <si>
    <t xml:space="preserve">  附录：主要参数汇总（见"主要假设"工作表）</t>
  </si>
  <si>
    <t xml:space="preserve">  附录：敏感性计算明细（见"敏感性计算明细"工作表）</t>
  </si>
  <si>
    <t>宁波怡丰汇商业项目 – 主要参数汇总</t>
  </si>
  <si>
    <t>1. 项目面积（平方米）</t>
  </si>
  <si>
    <t>楼层</t>
  </si>
  <si>
    <t>建筑面积</t>
  </si>
  <si>
    <t>产权面积</t>
  </si>
  <si>
    <t>可租面积</t>
  </si>
  <si>
    <t>产权车位</t>
  </si>
  <si>
    <t>无产权车位</t>
  </si>
  <si>
    <t>6</t>
  </si>
  <si>
    <t>5</t>
  </si>
  <si>
    <t>4</t>
  </si>
  <si>
    <t>3</t>
  </si>
  <si>
    <t>2</t>
  </si>
  <si>
    <t>1</t>
  </si>
  <si>
    <t>B1</t>
  </si>
  <si>
    <t>B2</t>
  </si>
  <si>
    <t>合计</t>
  </si>
  <si>
    <t>2. 租金假设（首年平均日租金，元/天/平方米）</t>
  </si>
  <si>
    <t>6层</t>
  </si>
  <si>
    <t>5层</t>
  </si>
  <si>
    <t>4层</t>
  </si>
  <si>
    <t>3层</t>
  </si>
  <si>
    <t>2层</t>
  </si>
  <si>
    <t>1层</t>
  </si>
  <si>
    <t>B1层</t>
  </si>
  <si>
    <t>B2层</t>
  </si>
  <si>
    <t>3. 租赁参数</t>
  </si>
  <si>
    <t>年份</t>
  </si>
  <si>
    <t>出租率</t>
  </si>
  <si>
    <t>租金增长率（vs上年）</t>
  </si>
  <si>
    <t>租金收取天数</t>
  </si>
  <si>
    <t>运营天数</t>
  </si>
  <si>
    <t>2026</t>
  </si>
  <si>
    <t>2027</t>
  </si>
  <si>
    <t>2028</t>
  </si>
  <si>
    <t>2029</t>
  </si>
  <si>
    <t>4. 停车费假设</t>
  </si>
  <si>
    <t>时费（元/时/位）</t>
  </si>
  <si>
    <t>日均停车时长（时）</t>
  </si>
  <si>
    <t>车位使用率</t>
  </si>
  <si>
    <t>5. 运营成本假设（首年全年基准，元）</t>
  </si>
  <si>
    <t>人事费用</t>
  </si>
  <si>
    <t>元/年</t>
  </si>
  <si>
    <t>市场推广费</t>
  </si>
  <si>
    <t>维保维修（基本）</t>
  </si>
  <si>
    <t>元/㎡(GFA)/年</t>
  </si>
  <si>
    <t>资本性改造</t>
  </si>
  <si>
    <t>×租金收入</t>
  </si>
  <si>
    <t>物业管理费</t>
  </si>
  <si>
    <t>能耗费用</t>
  </si>
  <si>
    <t>行政费用</t>
  </si>
  <si>
    <t>6. 费用增长率（相对上一年）</t>
  </si>
  <si>
    <t>费项</t>
  </si>
  <si>
    <t>维保维修</t>
  </si>
  <si>
    <t>物业管理</t>
  </si>
  <si>
    <t>7. 财务参数</t>
  </si>
  <si>
    <t>交易契税税率</t>
  </si>
  <si>
    <t>3%</t>
  </si>
  <si>
    <t>其他交易费用</t>
  </si>
  <si>
    <t>元</t>
  </si>
  <si>
    <t>商场开业成本</t>
  </si>
  <si>
    <t>企业所得税税率</t>
  </si>
  <si>
    <t>25%</t>
  </si>
  <si>
    <t>MARR（折现率）</t>
  </si>
  <si>
    <t>12%</t>
  </si>
  <si>
    <t>退出资本化率</t>
  </si>
  <si>
    <t>8%</t>
  </si>
  <si>
    <t>免租期</t>
  </si>
  <si>
    <t>个月</t>
  </si>
  <si>
    <t>Step 1：年度经营现金流模型（万元）</t>
  </si>
  <si>
    <t>注：期初（Period 0）= 2026年1月1日；2026年为9个月运营期；所有金额单位为万元。</t>
  </si>
  <si>
    <t>项目</t>
  </si>
  <si>
    <t>2026年
（改造期）</t>
  </si>
  <si>
    <t>2027年
（稳定期）</t>
  </si>
  <si>
    <t>2028年
（稳定期）</t>
  </si>
  <si>
    <t>2029年
（稳定期+退出）</t>
  </si>
  <si>
    <t>备注</t>
  </si>
  <si>
    <t>▶ 一、营业收入</t>
  </si>
  <si>
    <t xml:space="preserve">  租金收入</t>
  </si>
  <si>
    <t xml:space="preserve">  停车费收入</t>
  </si>
  <si>
    <t xml:space="preserve">  物业费收入</t>
  </si>
  <si>
    <t>营业收入合计</t>
  </si>
  <si>
    <t>▶ 二、运营成本</t>
  </si>
  <si>
    <t xml:space="preserve">  人事费用</t>
  </si>
  <si>
    <t xml:space="preserve">  市场推广费</t>
  </si>
  <si>
    <t xml:space="preserve">  维保维修（基本）</t>
  </si>
  <si>
    <t xml:space="preserve">  资本性改造（占租金2.5%）</t>
  </si>
  <si>
    <t xml:space="preserve">  物业管理费</t>
  </si>
  <si>
    <t xml:space="preserve">  能耗费用</t>
  </si>
  <si>
    <t xml:space="preserve">  行政费用</t>
  </si>
  <si>
    <t>运营成本合计</t>
  </si>
  <si>
    <t>▶ 三、营业利润与税</t>
  </si>
  <si>
    <t>营业利润（税前）</t>
  </si>
  <si>
    <t xml:space="preserve">  企业所得税（25%）</t>
  </si>
  <si>
    <t>税后经营净现金流</t>
  </si>
  <si>
    <t>▶ 四、退出价值（永续年金 i=8%）</t>
  </si>
  <si>
    <t>退出价值（不计税）</t>
  </si>
  <si>
    <t>▶ 五、年度总现金流</t>
  </si>
  <si>
    <t>年度总现金流（含退出）</t>
  </si>
  <si>
    <t>关键运营指标</t>
  </si>
  <si>
    <t>实际运营天数</t>
  </si>
  <si>
    <t>租金收入/收入合计</t>
  </si>
  <si>
    <t>税前净利润率</t>
  </si>
  <si>
    <t>Step 1（补充）：2026年季度现金流分析（万元）</t>
  </si>
  <si>
    <t>说明：Q1为收购期无运营；Q2免租期仅有停车费+物业费；Q3起租金开始收取。税收按年度汇总计算。</t>
  </si>
  <si>
    <t>Q1 (1-3月)</t>
  </si>
  <si>
    <t>Q2 (4-6月)</t>
  </si>
  <si>
    <t>Q3 (7-9月)</t>
  </si>
  <si>
    <t>Q4 (10-12月)</t>
  </si>
  <si>
    <t>收入</t>
  </si>
  <si>
    <t>租金收入</t>
  </si>
  <si>
    <t>停车费收入</t>
  </si>
  <si>
    <t>物业费收入</t>
  </si>
  <si>
    <t>收入小计</t>
  </si>
  <si>
    <t>运营成本</t>
  </si>
  <si>
    <t>运营成本小计</t>
  </si>
  <si>
    <t>利润（税前，季度口径）</t>
  </si>
  <si>
    <t>营业利润（含季度分摊）</t>
  </si>
  <si>
    <t>2026全年汇总（与年度现金流匹配）</t>
  </si>
  <si>
    <t>2026年度税后净现金流（年度口径）</t>
  </si>
  <si>
    <t>-</t>
  </si>
  <si>
    <t>季度现金流改善分析</t>
  </si>
  <si>
    <t>Q1 → Q2：运营启动（仅停车费+物业费），税前利润由0→负（因分摊的人事/管理/能耗成本较高）</t>
  </si>
  <si>
    <t>Q2 → Q3：免租期结束，租金收入开始确认，季度税前利润大幅转正（约+1150万元）</t>
  </si>
  <si>
    <t>Q3 = Q4（2026）：同等运营条件，现金流基本持平</t>
  </si>
  <si>
    <t>改造期年度净CF（2026）≈ 1103万元  vs  稳定期（2027）≈ 3325万元，相差约2222万元（约202%增幅）</t>
  </si>
  <si>
    <t>Step 2：收购价格估算（MARR = 12%）</t>
  </si>
  <si>
    <t>一、未来现金流现值计算（折现率12%）</t>
  </si>
  <si>
    <t>时间节点</t>
  </si>
  <si>
    <t>期间</t>
  </si>
  <si>
    <t>年度总CF（万元）</t>
  </si>
  <si>
    <t>折现系数</t>
  </si>
  <si>
    <t>现值（万元）</t>
  </si>
  <si>
    <t>2026年</t>
  </si>
  <si>
    <t>改造期（9个月运营）</t>
  </si>
  <si>
    <t>2027年</t>
  </si>
  <si>
    <t>稳定期</t>
  </si>
  <si>
    <t>2028年</t>
  </si>
  <si>
    <t>2029年</t>
  </si>
  <si>
    <t>稳定期 + 退出价值</t>
  </si>
  <si>
    <t>未来CF现值合计</t>
  </si>
  <si>
    <t>二、收购价格推算</t>
  </si>
  <si>
    <t>万元</t>
  </si>
  <si>
    <t xml:space="preserve">  减：其他交易费用</t>
  </si>
  <si>
    <t xml:space="preserve">  减：商场开业成本</t>
  </si>
  <si>
    <t xml:space="preserve">  = 可用于支付收购对价×(1+3%)</t>
  </si>
  <si>
    <t xml:space="preserve">  ÷ (1 + 契税税率 3%)</t>
  </si>
  <si>
    <t>倍</t>
  </si>
  <si>
    <t>★ 建议收购对价（P）</t>
  </si>
  <si>
    <t xml:space="preserve">  对应契税</t>
  </si>
  <si>
    <t xml:space="preserve">  其他交易费用</t>
  </si>
  <si>
    <t xml:space="preserve">  商场开业成本</t>
  </si>
  <si>
    <t>★ 总投资额（P×1.03 + 2100万）</t>
  </si>
  <si>
    <t>三、投资回报验证（按建议收购价格）</t>
  </si>
  <si>
    <t>NPV（验证，应≈0）</t>
  </si>
  <si>
    <t>IRR（理论值）</t>
  </si>
  <si>
    <t>MARR = 12%</t>
  </si>
  <si>
    <t>总投资回报倍数（含退出价值）</t>
  </si>
  <si>
    <t>退出价值 / 总现金流入</t>
  </si>
  <si>
    <t>%</t>
  </si>
  <si>
    <t>总CF现值 / 总投资</t>
  </si>
  <si>
    <t>Step 3：敏感性分析 – 建议收购对价（万元，MARR=12%）</t>
  </si>
  <si>
    <t>分析变量：稳定期（2027-2029年）出租率 × 2029年租金增长率；底色越深代表收购价格越高。</t>
  </si>
  <si>
    <t>出租率 \ 租金增长率</t>
  </si>
  <si>
    <t>单变量分析①：出租率变化对收购价格的影响（租金增长率固定3%）</t>
  </si>
  <si>
    <t>收购价格（万元）</t>
  </si>
  <si>
    <t>vs基准（95%, 3%）</t>
  </si>
  <si>
    <t>70%</t>
  </si>
  <si>
    <t>75%</t>
  </si>
  <si>
    <t>80%</t>
  </si>
  <si>
    <t>85%</t>
  </si>
  <si>
    <t>90%</t>
  </si>
  <si>
    <t>95%</t>
  </si>
  <si>
    <t>单变量分析②：2029年租金增长率变化对收购价格的影响（出租率固定95%）</t>
  </si>
  <si>
    <t>租金增长率</t>
  </si>
  <si>
    <t>-3%</t>
  </si>
  <si>
    <t>0%</t>
  </si>
  <si>
    <t>5%</t>
  </si>
  <si>
    <t>敏感性结论</t>
  </si>
  <si>
    <t>基准假设（出租率95%，租金增长率3%）下建议收购价约 33263 万元（3.33亿元）。按“2026年出租率=稳定期出租率-15个百分点”的口径，出租率每下降5个百分点，收购对价约下降2478万元；若稳定出租率仅70%且2029年租金增长率为-3%，合理价格约19413万元。</t>
  </si>
  <si>
    <t>敏感性计算明细：稳定期出租率 × 2029年租金增长率</t>
  </si>
  <si>
    <t>情景</t>
  </si>
  <si>
    <t>稳定期出租率</t>
  </si>
  <si>
    <t>2029租金增长率</t>
  </si>
  <si>
    <t>2026出租率</t>
  </si>
  <si>
    <t>租金2026</t>
  </si>
  <si>
    <t>租金2027</t>
  </si>
  <si>
    <t>租金2028</t>
  </si>
  <si>
    <t>租金2029</t>
  </si>
  <si>
    <t>停车2026</t>
  </si>
  <si>
    <t>停车2027</t>
  </si>
  <si>
    <t>停车2028</t>
  </si>
  <si>
    <t>停车2029</t>
  </si>
  <si>
    <t>物业2026</t>
  </si>
  <si>
    <t>物业2027</t>
  </si>
  <si>
    <t>物业2028</t>
  </si>
  <si>
    <t>物业2029</t>
  </si>
  <si>
    <t>收入2026</t>
  </si>
  <si>
    <t>收入2027</t>
  </si>
  <si>
    <t>收入2028</t>
  </si>
  <si>
    <t>收入2029</t>
  </si>
  <si>
    <t>O&amp;M2026</t>
  </si>
  <si>
    <t>O&amp;M2027</t>
  </si>
  <si>
    <t>O&amp;M2028</t>
  </si>
  <si>
    <t>O&amp;M2029</t>
  </si>
  <si>
    <t>BTCF2026</t>
  </si>
  <si>
    <t>BTCF2027</t>
  </si>
  <si>
    <t>BTCF2028</t>
  </si>
  <si>
    <t>BTCF2029</t>
  </si>
  <si>
    <t>Tax2026</t>
  </si>
  <si>
    <t>Tax2027</t>
  </si>
  <si>
    <t>Tax2028</t>
  </si>
  <si>
    <t>Tax2029</t>
  </si>
  <si>
    <t>ATCF2026</t>
  </si>
  <si>
    <t>ATCF2027</t>
  </si>
  <si>
    <t>ATCF2028</t>
  </si>
  <si>
    <t>ATCF2029</t>
  </si>
  <si>
    <t>退出价值</t>
  </si>
  <si>
    <t>未来CF现值</t>
  </si>
  <si>
    <t>建议收购对价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</si>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</sst>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%"/>
    <numFmt numFmtId="178" formatCode="0.0000"/>
  </numFmts>
  <fonts count="24">
    <font>
      <sz val="11"/>
      <color theme="1"/>
      <name val="宋体"/>
      <family val="2"/>
      <scheme val="minor"/>
    </font>
    <font>
      <b/>
      <sz val="22"/>
      <color rgb="FF1F3864"/>
      <name val="微软雅黑"/>
      <family val="2"/>
      <charset val="134"/>
    </font>
    <font>
      <sz val="13"/>
      <color rgb="FF2E75B6"/>
      <name val="微软雅黑"/>
      <family val="2"/>
      <charset val="134"/>
    </font>
    <font>
      <sz val="11"/>
      <name val="微软雅黑"/>
      <family val="2"/>
      <charset val="134"/>
    </font>
    <font>
      <sz val="10"/>
      <color rgb="FF2E75B6"/>
      <name val="微软雅黑"/>
      <family val="2"/>
      <charset val="134"/>
    </font>
    <font>
      <b/>
      <sz val="13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1F3864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9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375623"/>
      <name val="微软雅黑"/>
      <family val="2"/>
      <charset val="134"/>
    </font>
    <font>
      <b/>
      <sz val="10"/>
      <color rgb="FF1F4E79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0"/>
      <color rgb="FF1F3A5F"/>
      <name val="Microsoft YaHei"/>
      <family val="2"/>
      <charset val="134"/>
    </font>
    <font>
      <sz val="9"/>
      <name val="宋体"/>
      <family val="3"/>
      <charset val="134"/>
      <scheme val="minor"/>
    </font>
    <font>
      <sz val="10"/>
      <color rgb="FF1F4E79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b/>
      <sz val="13"/>
      <color rgb="FFFFFFFF"/>
      <name val="Microsoft YaHei"/>
      <family val="2"/>
      <charset val="134"/>
    </font>
    <font>
      <b/>
      <sz val="9"/>
      <color rgb="FFFFFFFF"/>
      <name val="Microsoft YaHei"/>
      <family val="2"/>
      <charset val="134"/>
    </font>
  </fonts>
  <fills count="4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00C880"/>
      </patternFill>
    </fill>
    <fill>
      <patternFill patternType="solid">
        <fgColor rgb="FF18C880"/>
      </patternFill>
    </fill>
    <fill>
      <patternFill patternType="solid">
        <fgColor rgb="FF31C880"/>
      </patternFill>
    </fill>
    <fill>
      <patternFill patternType="solid">
        <fgColor rgb="FF42C880"/>
      </patternFill>
    </fill>
    <fill>
      <patternFill patternType="solid">
        <fgColor rgb="FF5BC880"/>
      </patternFill>
    </fill>
    <fill>
      <patternFill patternType="solid">
        <fgColor rgb="FF4DC880"/>
      </patternFill>
    </fill>
    <fill>
      <patternFill patternType="solid">
        <fgColor rgb="FF67C880"/>
      </patternFill>
    </fill>
    <fill>
      <patternFill patternType="solid">
        <fgColor rgb="FF82C880"/>
      </patternFill>
    </fill>
    <fill>
      <patternFill patternType="solid">
        <fgColor rgb="FF94C880"/>
      </patternFill>
    </fill>
    <fill>
      <patternFill patternType="solid">
        <fgColor rgb="FFAEC880"/>
      </patternFill>
    </fill>
    <fill>
      <patternFill patternType="solid">
        <fgColor rgb="FF9AC880"/>
      </patternFill>
    </fill>
    <fill>
      <patternFill patternType="solid">
        <fgColor rgb="FFB6C880"/>
      </patternFill>
    </fill>
    <fill>
      <patternFill patternType="solid">
        <fgColor rgb="FFD3C880"/>
      </patternFill>
    </fill>
    <fill>
      <patternFill patternType="solid">
        <fgColor rgb="FFE6C880"/>
      </patternFill>
    </fill>
    <fill>
      <patternFill patternType="solid">
        <fgColor rgb="FFC86280"/>
      </patternFill>
    </fill>
    <fill>
      <patternFill patternType="solid">
        <fgColor rgb="FFE7C880"/>
      </patternFill>
    </fill>
    <fill>
      <patternFill patternType="solid">
        <fgColor rgb="FFC86180"/>
      </patternFill>
    </fill>
    <fill>
      <patternFill patternType="solid">
        <fgColor rgb="FFC85580"/>
      </patternFill>
    </fill>
    <fill>
      <patternFill patternType="solid">
        <fgColor rgb="FFC84D80"/>
      </patternFill>
    </fill>
    <fill>
      <patternFill patternType="solid">
        <fgColor rgb="FFC84180"/>
      </patternFill>
    </fill>
    <fill>
      <patternFill patternType="solid">
        <fgColor rgb="FFC84E80"/>
      </patternFill>
    </fill>
    <fill>
      <patternFill patternType="solid">
        <fgColor rgb="FFC84280"/>
      </patternFill>
    </fill>
    <fill>
      <patternFill patternType="solid">
        <fgColor rgb="FFC83580"/>
      </patternFill>
    </fill>
    <fill>
      <patternFill patternType="solid">
        <fgColor rgb="FFC82D80"/>
      </patternFill>
    </fill>
    <fill>
      <patternFill patternType="solid">
        <fgColor rgb="FFC82080"/>
      </patternFill>
    </fill>
    <fill>
      <patternFill patternType="solid">
        <fgColor rgb="FFC83080"/>
      </patternFill>
    </fill>
    <fill>
      <patternFill patternType="solid">
        <fgColor rgb="FFC82380"/>
      </patternFill>
    </fill>
    <fill>
      <patternFill patternType="solid">
        <fgColor rgb="FFC80D80"/>
      </patternFill>
    </fill>
    <fill>
      <patternFill patternType="solid">
        <fgColor rgb="FFC80080"/>
      </patternFill>
    </fill>
    <fill>
      <patternFill patternType="solid">
        <fgColor rgb="FFDCE6F1"/>
      </patternFill>
    </fill>
    <fill>
      <patternFill patternType="solid">
        <fgColor rgb="FFE2F0D9"/>
      </patternFill>
    </fill>
    <fill>
      <patternFill patternType="solid">
        <fgColor rgb="FF1F3A5F"/>
      </patternFill>
    </fill>
    <fill>
      <patternFill patternType="solid">
        <fgColor rgb="FF2E75B6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3" fontId="8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right" vertical="center"/>
    </xf>
    <xf numFmtId="176" fontId="8" fillId="5" borderId="1" xfId="0" applyNumberFormat="1" applyFont="1" applyFill="1" applyBorder="1" applyAlignment="1">
      <alignment horizontal="right" vertical="center"/>
    </xf>
    <xf numFmtId="9" fontId="8" fillId="5" borderId="1" xfId="0" applyNumberFormat="1" applyFont="1" applyFill="1" applyBorder="1" applyAlignment="1">
      <alignment horizontal="right" vertical="center"/>
    </xf>
    <xf numFmtId="1" fontId="8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4" fontId="8" fillId="5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left" vertical="center" wrapText="1"/>
    </xf>
    <xf numFmtId="4" fontId="9" fillId="7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 wrapText="1"/>
    </xf>
    <xf numFmtId="4" fontId="9" fillId="8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wrapText="1"/>
    </xf>
    <xf numFmtId="4" fontId="9" fillId="5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left" vertical="center" wrapText="1"/>
    </xf>
    <xf numFmtId="4" fontId="9" fillId="9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 wrapText="1"/>
    </xf>
    <xf numFmtId="4" fontId="9" fillId="4" borderId="1" xfId="0" applyNumberFormat="1" applyFont="1" applyFill="1" applyBorder="1" applyAlignment="1">
      <alignment horizontal="right" vertical="center"/>
    </xf>
    <xf numFmtId="177" fontId="8" fillId="5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 wrapText="1"/>
    </xf>
    <xf numFmtId="4" fontId="8" fillId="7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left" vertical="center" wrapText="1"/>
    </xf>
    <xf numFmtId="4" fontId="8" fillId="8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 wrapText="1"/>
    </xf>
    <xf numFmtId="2" fontId="8" fillId="5" borderId="1" xfId="0" applyNumberFormat="1" applyFont="1" applyFill="1" applyBorder="1" applyAlignment="1">
      <alignment horizontal="right" vertical="center"/>
    </xf>
    <xf numFmtId="9" fontId="9" fillId="5" borderId="1" xfId="0" applyNumberFormat="1" applyFont="1" applyFill="1" applyBorder="1" applyAlignment="1">
      <alignment horizontal="right" vertical="center"/>
    </xf>
    <xf numFmtId="2" fontId="9" fillId="5" borderId="1" xfId="0" applyNumberFormat="1" applyFont="1" applyFill="1" applyBorder="1" applyAlignment="1">
      <alignment horizontal="right" vertical="center"/>
    </xf>
    <xf numFmtId="4" fontId="8" fillId="10" borderId="1" xfId="0" applyNumberFormat="1" applyFont="1" applyFill="1" applyBorder="1" applyAlignment="1">
      <alignment horizontal="right" vertical="center"/>
    </xf>
    <xf numFmtId="4" fontId="8" fillId="11" borderId="1" xfId="0" applyNumberFormat="1" applyFont="1" applyFill="1" applyBorder="1" applyAlignment="1">
      <alignment horizontal="right" vertical="center"/>
    </xf>
    <xf numFmtId="4" fontId="8" fillId="12" borderId="1" xfId="0" applyNumberFormat="1" applyFont="1" applyFill="1" applyBorder="1" applyAlignment="1">
      <alignment horizontal="right" vertical="center"/>
    </xf>
    <xf numFmtId="4" fontId="8" fillId="13" borderId="1" xfId="0" applyNumberFormat="1" applyFont="1" applyFill="1" applyBorder="1" applyAlignment="1">
      <alignment horizontal="right" vertical="center"/>
    </xf>
    <xf numFmtId="4" fontId="8" fillId="14" borderId="1" xfId="0" applyNumberFormat="1" applyFont="1" applyFill="1" applyBorder="1" applyAlignment="1">
      <alignment horizontal="right" vertical="center"/>
    </xf>
    <xf numFmtId="4" fontId="8" fillId="15" borderId="1" xfId="0" applyNumberFormat="1" applyFont="1" applyFill="1" applyBorder="1" applyAlignment="1">
      <alignment horizontal="right" vertical="center"/>
    </xf>
    <xf numFmtId="4" fontId="8" fillId="16" borderId="1" xfId="0" applyNumberFormat="1" applyFont="1" applyFill="1" applyBorder="1" applyAlignment="1">
      <alignment horizontal="right" vertical="center"/>
    </xf>
    <xf numFmtId="4" fontId="8" fillId="17" borderId="1" xfId="0" applyNumberFormat="1" applyFont="1" applyFill="1" applyBorder="1" applyAlignment="1">
      <alignment horizontal="right" vertical="center"/>
    </xf>
    <xf numFmtId="4" fontId="8" fillId="18" borderId="1" xfId="0" applyNumberFormat="1" applyFont="1" applyFill="1" applyBorder="1" applyAlignment="1">
      <alignment horizontal="right" vertical="center"/>
    </xf>
    <xf numFmtId="4" fontId="8" fillId="19" borderId="1" xfId="0" applyNumberFormat="1" applyFont="1" applyFill="1" applyBorder="1" applyAlignment="1">
      <alignment horizontal="right" vertical="center"/>
    </xf>
    <xf numFmtId="4" fontId="8" fillId="20" borderId="1" xfId="0" applyNumberFormat="1" applyFont="1" applyFill="1" applyBorder="1" applyAlignment="1">
      <alignment horizontal="right" vertical="center"/>
    </xf>
    <xf numFmtId="4" fontId="8" fillId="21" borderId="1" xfId="0" applyNumberFormat="1" applyFont="1" applyFill="1" applyBorder="1" applyAlignment="1">
      <alignment horizontal="right" vertical="center"/>
    </xf>
    <xf numFmtId="4" fontId="8" fillId="22" borderId="1" xfId="0" applyNumberFormat="1" applyFont="1" applyFill="1" applyBorder="1" applyAlignment="1">
      <alignment horizontal="right" vertical="center"/>
    </xf>
    <xf numFmtId="4" fontId="8" fillId="23" borderId="1" xfId="0" applyNumberFormat="1" applyFont="1" applyFill="1" applyBorder="1" applyAlignment="1">
      <alignment horizontal="right" vertical="center"/>
    </xf>
    <xf numFmtId="4" fontId="8" fillId="24" borderId="1" xfId="0" applyNumberFormat="1" applyFont="1" applyFill="1" applyBorder="1" applyAlignment="1">
      <alignment horizontal="right" vertical="center"/>
    </xf>
    <xf numFmtId="4" fontId="8" fillId="25" borderId="1" xfId="0" applyNumberFormat="1" applyFont="1" applyFill="1" applyBorder="1" applyAlignment="1">
      <alignment horizontal="right" vertical="center"/>
    </xf>
    <xf numFmtId="4" fontId="8" fillId="26" borderId="1" xfId="0" applyNumberFormat="1" applyFont="1" applyFill="1" applyBorder="1" applyAlignment="1">
      <alignment horizontal="right" vertical="center"/>
    </xf>
    <xf numFmtId="4" fontId="8" fillId="27" borderId="1" xfId="0" applyNumberFormat="1" applyFont="1" applyFill="1" applyBorder="1" applyAlignment="1">
      <alignment horizontal="right" vertical="center"/>
    </xf>
    <xf numFmtId="4" fontId="8" fillId="28" borderId="1" xfId="0" applyNumberFormat="1" applyFont="1" applyFill="1" applyBorder="1" applyAlignment="1">
      <alignment horizontal="right" vertical="center"/>
    </xf>
    <xf numFmtId="4" fontId="8" fillId="29" borderId="1" xfId="0" applyNumberFormat="1" applyFont="1" applyFill="1" applyBorder="1" applyAlignment="1">
      <alignment horizontal="right" vertical="center"/>
    </xf>
    <xf numFmtId="4" fontId="8" fillId="30" borderId="1" xfId="0" applyNumberFormat="1" applyFont="1" applyFill="1" applyBorder="1" applyAlignment="1">
      <alignment horizontal="right" vertical="center"/>
    </xf>
    <xf numFmtId="4" fontId="8" fillId="31" borderId="1" xfId="0" applyNumberFormat="1" applyFont="1" applyFill="1" applyBorder="1" applyAlignment="1">
      <alignment horizontal="right" vertical="center"/>
    </xf>
    <xf numFmtId="4" fontId="8" fillId="32" borderId="1" xfId="0" applyNumberFormat="1" applyFont="1" applyFill="1" applyBorder="1" applyAlignment="1">
      <alignment horizontal="right" vertical="center"/>
    </xf>
    <xf numFmtId="4" fontId="8" fillId="33" borderId="1" xfId="0" applyNumberFormat="1" applyFont="1" applyFill="1" applyBorder="1" applyAlignment="1">
      <alignment horizontal="right" vertical="center"/>
    </xf>
    <xf numFmtId="4" fontId="8" fillId="34" borderId="1" xfId="0" applyNumberFormat="1" applyFont="1" applyFill="1" applyBorder="1" applyAlignment="1">
      <alignment horizontal="right" vertical="center"/>
    </xf>
    <xf numFmtId="4" fontId="8" fillId="35" borderId="1" xfId="0" applyNumberFormat="1" applyFont="1" applyFill="1" applyBorder="1" applyAlignment="1">
      <alignment horizontal="right" vertical="center"/>
    </xf>
    <xf numFmtId="4" fontId="8" fillId="36" borderId="1" xfId="0" applyNumberFormat="1" applyFont="1" applyFill="1" applyBorder="1" applyAlignment="1">
      <alignment horizontal="right" vertical="center"/>
    </xf>
    <xf numFmtId="4" fontId="8" fillId="37" borderId="1" xfId="0" applyNumberFormat="1" applyFont="1" applyFill="1" applyBorder="1" applyAlignment="1">
      <alignment horizontal="right" vertical="center"/>
    </xf>
    <xf numFmtId="4" fontId="8" fillId="38" borderId="1" xfId="0" applyNumberFormat="1" applyFont="1" applyFill="1" applyBorder="1" applyAlignment="1">
      <alignment horizontal="right" vertical="center"/>
    </xf>
    <xf numFmtId="177" fontId="12" fillId="5" borderId="1" xfId="0" applyNumberFormat="1" applyFont="1" applyFill="1" applyBorder="1" applyAlignment="1">
      <alignment horizontal="right" vertical="center"/>
    </xf>
    <xf numFmtId="177" fontId="13" fillId="5" borderId="1" xfId="0" applyNumberFormat="1" applyFont="1" applyFill="1" applyBorder="1" applyAlignment="1">
      <alignment horizontal="right" vertical="center"/>
    </xf>
    <xf numFmtId="0" fontId="14" fillId="3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4" fontId="8" fillId="5" borderId="1" xfId="0" applyNumberFormat="1" applyFont="1" applyFill="1" applyBorder="1" applyAlignment="1">
      <alignment horizontal="left" vertical="center"/>
    </xf>
    <xf numFmtId="4" fontId="15" fillId="5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4" fillId="40" borderId="1" xfId="0" applyFont="1" applyFill="1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178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15" fillId="40" borderId="1" xfId="0" applyNumberFormat="1" applyFont="1" applyFill="1" applyBorder="1" applyAlignment="1">
      <alignment horizontal="right" vertical="center"/>
    </xf>
    <xf numFmtId="177" fontId="8" fillId="5" borderId="1" xfId="0" applyNumberFormat="1" applyFont="1" applyFill="1" applyBorder="1" applyAlignment="1">
      <alignment horizontal="right" vertical="center" wrapText="1"/>
    </xf>
    <xf numFmtId="9" fontId="11" fillId="3" borderId="1" xfId="0" applyNumberFormat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21" fillId="0" borderId="11" xfId="0" applyFont="1" applyBorder="1" applyAlignment="1">
      <alignment horizontal="left" vertical="center"/>
    </xf>
    <xf numFmtId="9" fontId="21" fillId="0" borderId="11" xfId="0" applyNumberFormat="1" applyFont="1" applyBorder="1" applyAlignment="1">
      <alignment horizontal="right" vertical="center"/>
    </xf>
    <xf numFmtId="4" fontId="21" fillId="0" borderId="11" xfId="0" applyNumberFormat="1" applyFont="1" applyBorder="1" applyAlignment="1">
      <alignment horizontal="right" vertical="center"/>
    </xf>
    <xf numFmtId="0" fontId="23" fillId="4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3" borderId="12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5" fillId="2" borderId="12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left" vertical="center" wrapText="1"/>
    </xf>
    <xf numFmtId="0" fontId="7" fillId="9" borderId="12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left" vertical="center" wrapText="1"/>
    </xf>
    <xf numFmtId="0" fontId="16" fillId="5" borderId="12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2" fillId="41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13"/>
  <sheetViews>
    <sheetView showGridLines="0" tabSelected="1" workbookViewId="0"/>
  </sheetViews>
  <sheetFormatPr defaultRowHeight="13.5"/>
  <cols>
    <col min="1" max="1" width="5" customWidth="1"/>
    <col min="2" max="2" width="60" customWidth="1"/>
  </cols>
  <sheetData>
    <row r="1" spans="2:2" ht="40.049999999999997" customHeight="1"/>
    <row r="2" spans="2:2">
      <c r="B2" s="87" t="s">
        <v>0</v>
      </c>
    </row>
    <row r="3" spans="2:2">
      <c r="B3" s="88"/>
    </row>
    <row r="4" spans="2:2" ht="18.399999999999999" customHeight="1">
      <c r="B4" s="86" t="s">
        <v>1</v>
      </c>
    </row>
    <row r="6" spans="2:2" ht="15" customHeight="1">
      <c r="B6" s="1" t="s">
        <v>2</v>
      </c>
    </row>
    <row r="8" spans="2:2" ht="14.65" customHeight="1">
      <c r="B8" s="2" t="s">
        <v>3</v>
      </c>
    </row>
    <row r="9" spans="2:2" ht="14.65" customHeight="1">
      <c r="B9" s="2" t="s">
        <v>4</v>
      </c>
    </row>
    <row r="10" spans="2:2" ht="14.65" customHeight="1">
      <c r="B10" s="2" t="s">
        <v>5</v>
      </c>
    </row>
    <row r="11" spans="2:2" ht="14.65" customHeight="1">
      <c r="B11" s="2" t="s">
        <v>6</v>
      </c>
    </row>
    <row r="12" spans="2:2" ht="14.65" customHeight="1">
      <c r="B12" s="2" t="s">
        <v>7</v>
      </c>
    </row>
    <row r="13" spans="2:2" ht="14.65" customHeight="1">
      <c r="B13" s="81" t="s">
        <v>8</v>
      </c>
    </row>
  </sheetData>
  <mergeCells count="2">
    <mergeCell ref="B4"/>
    <mergeCell ref="B2:B3"/>
  </mergeCells>
  <phoneticPr fontId="18" type="noConversion"/>
  <pageMargins left="0.25" right="0.25" top="0.35" bottom="0.35" header="0.15" footer="0.1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65"/>
  <sheetViews>
    <sheetView showGridLines="0" workbookViewId="0"/>
  </sheetViews>
  <sheetFormatPr defaultRowHeight="13.5"/>
  <cols>
    <col min="2" max="2" width="30" customWidth="1"/>
    <col min="3" max="3" width="16" customWidth="1"/>
    <col min="4" max="4" width="22" customWidth="1"/>
    <col min="5" max="5" width="17" customWidth="1"/>
    <col min="6" max="6" width="16" customWidth="1"/>
    <col min="7" max="8" width="13" customWidth="1"/>
  </cols>
  <sheetData>
    <row r="1" spans="2:8" ht="18.399999999999999" customHeight="1">
      <c r="B1" s="92" t="s">
        <v>9</v>
      </c>
      <c r="C1" s="90"/>
      <c r="D1" s="90"/>
      <c r="E1" s="90"/>
      <c r="F1" s="90"/>
      <c r="G1" s="90"/>
      <c r="H1" s="91"/>
    </row>
    <row r="2" spans="2:8">
      <c r="B2" s="3"/>
      <c r="C2" s="3"/>
      <c r="D2" s="3"/>
      <c r="E2" s="3"/>
      <c r="F2" s="3"/>
      <c r="G2" s="3"/>
      <c r="H2" s="3"/>
    </row>
    <row r="3" spans="2:8" ht="15.75" customHeight="1">
      <c r="B3" s="89" t="s">
        <v>10</v>
      </c>
      <c r="C3" s="90"/>
      <c r="D3" s="90"/>
      <c r="E3" s="90"/>
      <c r="F3" s="90"/>
      <c r="G3" s="90"/>
      <c r="H3" s="91"/>
    </row>
    <row r="4" spans="2:8" ht="14.65" customHeight="1"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3"/>
    </row>
    <row r="5" spans="2:8" ht="13.9" customHeight="1">
      <c r="B5" s="5" t="s">
        <v>17</v>
      </c>
      <c r="C5" s="6">
        <v>1021.56</v>
      </c>
      <c r="D5" s="6">
        <v>1021.56</v>
      </c>
      <c r="E5" s="6">
        <v>141.69999999999999</v>
      </c>
      <c r="F5" s="6">
        <v>0</v>
      </c>
      <c r="G5" s="6">
        <v>186</v>
      </c>
      <c r="H5" s="3"/>
    </row>
    <row r="6" spans="2:8" ht="13.9" customHeight="1">
      <c r="B6" s="5" t="s">
        <v>18</v>
      </c>
      <c r="C6" s="6">
        <v>7855.27</v>
      </c>
      <c r="D6" s="6">
        <v>7855.27</v>
      </c>
      <c r="E6" s="6">
        <v>391.45</v>
      </c>
      <c r="F6" s="6">
        <v>148</v>
      </c>
      <c r="G6" s="6">
        <v>72</v>
      </c>
      <c r="H6" s="3"/>
    </row>
    <row r="7" spans="2:8" ht="13.9" customHeight="1">
      <c r="B7" s="5" t="s">
        <v>19</v>
      </c>
      <c r="C7" s="6">
        <v>11560.31</v>
      </c>
      <c r="D7" s="6">
        <v>11560.31</v>
      </c>
      <c r="E7" s="6">
        <v>10535.92</v>
      </c>
      <c r="F7" s="6">
        <v>0</v>
      </c>
      <c r="G7" s="6">
        <v>0</v>
      </c>
      <c r="H7" s="3"/>
    </row>
    <row r="8" spans="2:8" ht="13.9" customHeight="1">
      <c r="B8" s="5" t="s">
        <v>20</v>
      </c>
      <c r="C8" s="6">
        <v>14291.8</v>
      </c>
      <c r="D8" s="6">
        <v>14076.81</v>
      </c>
      <c r="E8" s="6">
        <v>13052.43</v>
      </c>
      <c r="F8" s="6">
        <v>0</v>
      </c>
      <c r="G8" s="6">
        <v>0</v>
      </c>
      <c r="H8" s="3"/>
    </row>
    <row r="9" spans="2:8" ht="13.9" customHeight="1">
      <c r="B9" s="5" t="s">
        <v>21</v>
      </c>
      <c r="C9" s="6">
        <v>14237.26</v>
      </c>
      <c r="D9" s="6">
        <v>14237.26</v>
      </c>
      <c r="E9" s="6">
        <v>13212.02</v>
      </c>
      <c r="F9" s="6">
        <v>0</v>
      </c>
      <c r="G9" s="6">
        <v>0</v>
      </c>
      <c r="H9" s="3"/>
    </row>
    <row r="10" spans="2:8" ht="13.9" customHeight="1">
      <c r="B10" s="5" t="s">
        <v>22</v>
      </c>
      <c r="C10" s="6">
        <v>14876.55</v>
      </c>
      <c r="D10" s="6">
        <v>14331.43</v>
      </c>
      <c r="E10" s="6">
        <v>13128.34</v>
      </c>
      <c r="F10" s="6">
        <v>0</v>
      </c>
      <c r="G10" s="6">
        <v>38</v>
      </c>
      <c r="H10" s="3"/>
    </row>
    <row r="11" spans="2:8" ht="13.9" customHeight="1">
      <c r="B11" s="5" t="s">
        <v>23</v>
      </c>
      <c r="C11" s="6">
        <v>43196.38</v>
      </c>
      <c r="D11" s="6">
        <v>11751.42</v>
      </c>
      <c r="E11" s="6">
        <v>11751.42</v>
      </c>
      <c r="F11" s="6">
        <v>0</v>
      </c>
      <c r="G11" s="6">
        <v>69</v>
      </c>
      <c r="H11" s="3"/>
    </row>
    <row r="12" spans="2:8" ht="13.9" customHeight="1">
      <c r="B12" s="5" t="s">
        <v>24</v>
      </c>
      <c r="C12" s="6">
        <v>0</v>
      </c>
      <c r="D12" s="6">
        <v>2174.06</v>
      </c>
      <c r="E12" s="6">
        <v>416.48</v>
      </c>
      <c r="F12" s="6">
        <v>134</v>
      </c>
      <c r="G12" s="6">
        <v>358</v>
      </c>
      <c r="H12" s="3"/>
    </row>
    <row r="13" spans="2:8" ht="14.65" customHeight="1">
      <c r="B13" s="7" t="s">
        <v>25</v>
      </c>
      <c r="C13" s="8">
        <f>SUM(C5:C12)</f>
        <v>107039.13</v>
      </c>
      <c r="D13" s="8">
        <f>SUM(D5:D12)</f>
        <v>77008.12</v>
      </c>
      <c r="E13" s="8">
        <f>SUM(E5:E12)</f>
        <v>62629.760000000002</v>
      </c>
      <c r="F13" s="8">
        <f>SUM(F5:F12)</f>
        <v>282</v>
      </c>
      <c r="G13" s="8">
        <f>SUM(G5:G12)</f>
        <v>723</v>
      </c>
      <c r="H13" s="3"/>
    </row>
    <row r="14" spans="2:8">
      <c r="B14" s="3"/>
      <c r="C14" s="3"/>
      <c r="D14" s="3"/>
      <c r="E14" s="3"/>
      <c r="F14" s="3"/>
      <c r="G14" s="3"/>
      <c r="H14" s="3"/>
    </row>
    <row r="15" spans="2:8" ht="15.75" customHeight="1">
      <c r="B15" s="89" t="s">
        <v>26</v>
      </c>
      <c r="C15" s="90"/>
      <c r="D15" s="90"/>
      <c r="E15" s="90"/>
      <c r="F15" s="90"/>
      <c r="G15" s="90"/>
      <c r="H15" s="91"/>
    </row>
    <row r="16" spans="2:8" ht="13.9" customHeight="1">
      <c r="B16" s="5" t="s">
        <v>27</v>
      </c>
      <c r="C16" s="9">
        <v>1.5</v>
      </c>
      <c r="D16" s="3"/>
      <c r="E16" s="3"/>
      <c r="F16" s="3"/>
      <c r="G16" s="3"/>
      <c r="H16" s="3"/>
    </row>
    <row r="17" spans="2:8" ht="13.9" customHeight="1">
      <c r="B17" s="5" t="s">
        <v>28</v>
      </c>
      <c r="C17" s="9">
        <v>1.5</v>
      </c>
      <c r="D17" s="3"/>
      <c r="E17" s="3"/>
      <c r="F17" s="3"/>
      <c r="G17" s="3"/>
      <c r="H17" s="3"/>
    </row>
    <row r="18" spans="2:8" ht="13.9" customHeight="1">
      <c r="B18" s="5" t="s">
        <v>29</v>
      </c>
      <c r="C18" s="9">
        <v>2.5</v>
      </c>
      <c r="D18" s="3"/>
      <c r="E18" s="3"/>
      <c r="F18" s="3"/>
      <c r="G18" s="3"/>
      <c r="H18" s="3"/>
    </row>
    <row r="19" spans="2:8" ht="13.9" customHeight="1">
      <c r="B19" s="5" t="s">
        <v>30</v>
      </c>
      <c r="C19" s="9">
        <v>2.5</v>
      </c>
      <c r="D19" s="3"/>
      <c r="E19" s="3"/>
      <c r="F19" s="3"/>
      <c r="G19" s="3"/>
      <c r="H19" s="3"/>
    </row>
    <row r="20" spans="2:8" ht="13.9" customHeight="1">
      <c r="B20" s="5" t="s">
        <v>31</v>
      </c>
      <c r="C20" s="9">
        <v>2.5</v>
      </c>
      <c r="D20" s="3"/>
      <c r="E20" s="3"/>
      <c r="F20" s="3"/>
      <c r="G20" s="3"/>
      <c r="H20" s="3"/>
    </row>
    <row r="21" spans="2:8" ht="13.9" customHeight="1">
      <c r="B21" s="5" t="s">
        <v>32</v>
      </c>
      <c r="C21" s="9">
        <v>3</v>
      </c>
      <c r="D21" s="3"/>
      <c r="E21" s="3"/>
      <c r="F21" s="3"/>
      <c r="G21" s="3"/>
      <c r="H21" s="3"/>
    </row>
    <row r="22" spans="2:8" ht="13.9" customHeight="1">
      <c r="B22" s="5" t="s">
        <v>33</v>
      </c>
      <c r="C22" s="9">
        <v>2</v>
      </c>
      <c r="D22" s="3"/>
      <c r="E22" s="3"/>
      <c r="F22" s="3"/>
      <c r="G22" s="3"/>
      <c r="H22" s="3"/>
    </row>
    <row r="23" spans="2:8" ht="13.9" customHeight="1">
      <c r="B23" s="5" t="s">
        <v>34</v>
      </c>
      <c r="C23" s="9">
        <v>1</v>
      </c>
      <c r="D23" s="3"/>
      <c r="E23" s="3"/>
      <c r="F23" s="3"/>
      <c r="G23" s="3"/>
      <c r="H23" s="3"/>
    </row>
    <row r="24" spans="2:8">
      <c r="B24" s="3"/>
      <c r="C24" s="3"/>
      <c r="D24" s="3"/>
      <c r="E24" s="3"/>
      <c r="F24" s="3"/>
      <c r="G24" s="3"/>
      <c r="H24" s="3"/>
    </row>
    <row r="25" spans="2:8" ht="15.75" customHeight="1">
      <c r="B25" s="89" t="s">
        <v>35</v>
      </c>
      <c r="C25" s="90"/>
      <c r="D25" s="90"/>
      <c r="E25" s="90"/>
      <c r="F25" s="90"/>
      <c r="G25" s="90"/>
      <c r="H25" s="91"/>
    </row>
    <row r="26" spans="2:8" ht="24" customHeight="1">
      <c r="B26" s="4" t="s">
        <v>36</v>
      </c>
      <c r="C26" s="4" t="s">
        <v>37</v>
      </c>
      <c r="D26" s="4" t="s">
        <v>38</v>
      </c>
      <c r="E26" s="4" t="s">
        <v>39</v>
      </c>
      <c r="F26" s="4" t="s">
        <v>40</v>
      </c>
      <c r="G26" s="3"/>
      <c r="H26" s="3"/>
    </row>
    <row r="27" spans="2:8" ht="13.9" customHeight="1">
      <c r="B27" s="5" t="s">
        <v>41</v>
      </c>
      <c r="C27" s="10">
        <v>0.8</v>
      </c>
      <c r="D27" s="10">
        <v>0</v>
      </c>
      <c r="E27" s="6">
        <v>184</v>
      </c>
      <c r="F27" s="6">
        <v>275</v>
      </c>
      <c r="G27" s="3"/>
      <c r="H27" s="3"/>
    </row>
    <row r="28" spans="2:8" ht="13.9" customHeight="1">
      <c r="B28" s="5" t="s">
        <v>42</v>
      </c>
      <c r="C28" s="10">
        <v>0.95</v>
      </c>
      <c r="D28" s="10">
        <v>0</v>
      </c>
      <c r="E28" s="6">
        <v>365</v>
      </c>
      <c r="F28" s="6">
        <v>365</v>
      </c>
      <c r="G28" s="3"/>
      <c r="H28" s="3"/>
    </row>
    <row r="29" spans="2:8" ht="13.9" customHeight="1">
      <c r="B29" s="5" t="s">
        <v>43</v>
      </c>
      <c r="C29" s="10">
        <v>0.95</v>
      </c>
      <c r="D29" s="10">
        <v>0</v>
      </c>
      <c r="E29" s="6">
        <v>366</v>
      </c>
      <c r="F29" s="6">
        <v>366</v>
      </c>
      <c r="G29" s="3"/>
      <c r="H29" s="3"/>
    </row>
    <row r="30" spans="2:8" ht="13.9" customHeight="1">
      <c r="B30" s="5" t="s">
        <v>44</v>
      </c>
      <c r="C30" s="10">
        <v>0.95</v>
      </c>
      <c r="D30" s="10">
        <v>0.03</v>
      </c>
      <c r="E30" s="6">
        <v>365</v>
      </c>
      <c r="F30" s="6">
        <v>365</v>
      </c>
      <c r="G30" s="3"/>
      <c r="H30" s="3"/>
    </row>
    <row r="31" spans="2:8">
      <c r="B31" s="3"/>
      <c r="C31" s="3"/>
      <c r="D31" s="3"/>
      <c r="E31" s="3"/>
      <c r="F31" s="3"/>
      <c r="G31" s="3"/>
      <c r="H31" s="3"/>
    </row>
    <row r="32" spans="2:8" ht="15.75" customHeight="1">
      <c r="B32" s="89" t="s">
        <v>45</v>
      </c>
      <c r="C32" s="90"/>
      <c r="D32" s="90"/>
      <c r="E32" s="90"/>
      <c r="F32" s="90"/>
      <c r="G32" s="90"/>
      <c r="H32" s="91"/>
    </row>
    <row r="33" spans="2:8" ht="24" customHeight="1">
      <c r="B33" s="4" t="s">
        <v>36</v>
      </c>
      <c r="C33" s="4" t="s">
        <v>46</v>
      </c>
      <c r="D33" s="4" t="s">
        <v>47</v>
      </c>
      <c r="E33" s="4" t="s">
        <v>48</v>
      </c>
      <c r="F33" s="3"/>
      <c r="G33" s="3"/>
      <c r="H33" s="3"/>
    </row>
    <row r="34" spans="2:8" ht="13.9" customHeight="1">
      <c r="B34" s="5" t="s">
        <v>41</v>
      </c>
      <c r="C34" s="11">
        <v>3</v>
      </c>
      <c r="D34" s="11">
        <v>6</v>
      </c>
      <c r="E34" s="10">
        <v>0.5</v>
      </c>
      <c r="F34" s="3"/>
      <c r="G34" s="3"/>
      <c r="H34" s="3"/>
    </row>
    <row r="35" spans="2:8" ht="13.9" customHeight="1">
      <c r="B35" s="5" t="s">
        <v>42</v>
      </c>
      <c r="C35" s="11">
        <v>3</v>
      </c>
      <c r="D35" s="11">
        <v>6</v>
      </c>
      <c r="E35" s="10">
        <v>0.6</v>
      </c>
      <c r="F35" s="3"/>
      <c r="G35" s="3"/>
      <c r="H35" s="3"/>
    </row>
    <row r="36" spans="2:8" ht="13.9" customHeight="1">
      <c r="B36" s="5" t="s">
        <v>43</v>
      </c>
      <c r="C36" s="11">
        <v>3</v>
      </c>
      <c r="D36" s="11">
        <v>6</v>
      </c>
      <c r="E36" s="10">
        <v>0.7</v>
      </c>
      <c r="F36" s="3"/>
      <c r="G36" s="3"/>
      <c r="H36" s="3"/>
    </row>
    <row r="37" spans="2:8" ht="13.9" customHeight="1">
      <c r="B37" s="5" t="s">
        <v>44</v>
      </c>
      <c r="C37" s="11">
        <v>3</v>
      </c>
      <c r="D37" s="11">
        <v>6</v>
      </c>
      <c r="E37" s="10">
        <v>0.8</v>
      </c>
      <c r="F37" s="3"/>
      <c r="G37" s="3"/>
      <c r="H37" s="3"/>
    </row>
    <row r="38" spans="2:8">
      <c r="B38" s="3"/>
      <c r="C38" s="3"/>
      <c r="D38" s="3"/>
      <c r="E38" s="3"/>
      <c r="F38" s="3"/>
      <c r="G38" s="3"/>
      <c r="H38" s="3"/>
    </row>
    <row r="39" spans="2:8" ht="15.75" customHeight="1">
      <c r="B39" s="89" t="s">
        <v>49</v>
      </c>
      <c r="C39" s="90"/>
      <c r="D39" s="90"/>
      <c r="E39" s="90"/>
      <c r="F39" s="90"/>
      <c r="G39" s="90"/>
      <c r="H39" s="91"/>
    </row>
    <row r="40" spans="2:8" ht="13.9" customHeight="1">
      <c r="B40" s="12" t="s">
        <v>50</v>
      </c>
      <c r="C40" s="6">
        <v>5000000</v>
      </c>
      <c r="D40" s="12" t="s">
        <v>51</v>
      </c>
      <c r="E40" s="3"/>
      <c r="F40" s="3"/>
      <c r="G40" s="3"/>
      <c r="H40" s="3"/>
    </row>
    <row r="41" spans="2:8" ht="13.9" customHeight="1">
      <c r="B41" s="12" t="s">
        <v>52</v>
      </c>
      <c r="C41" s="6">
        <v>5000000</v>
      </c>
      <c r="D41" s="12" t="s">
        <v>51</v>
      </c>
      <c r="E41" s="3"/>
      <c r="F41" s="3"/>
      <c r="G41" s="3"/>
      <c r="H41" s="3"/>
    </row>
    <row r="42" spans="2:8" ht="13.9" customHeight="1">
      <c r="B42" s="12" t="s">
        <v>53</v>
      </c>
      <c r="C42" s="6">
        <v>15</v>
      </c>
      <c r="D42" s="12" t="s">
        <v>54</v>
      </c>
      <c r="E42" s="3"/>
      <c r="F42" s="3"/>
      <c r="G42" s="3"/>
      <c r="H42" s="3"/>
    </row>
    <row r="43" spans="2:8" ht="13.9" customHeight="1">
      <c r="B43" s="12" t="s">
        <v>55</v>
      </c>
      <c r="C43" s="78">
        <v>2.5000000000000001E-2</v>
      </c>
      <c r="D43" s="12" t="s">
        <v>56</v>
      </c>
      <c r="E43" s="3"/>
      <c r="F43" s="3"/>
      <c r="G43" s="3"/>
      <c r="H43" s="3"/>
    </row>
    <row r="44" spans="2:8" ht="13.9" customHeight="1">
      <c r="B44" s="12" t="s">
        <v>57</v>
      </c>
      <c r="C44" s="6">
        <v>30</v>
      </c>
      <c r="D44" s="12" t="s">
        <v>54</v>
      </c>
      <c r="E44" s="3"/>
      <c r="F44" s="3"/>
      <c r="G44" s="3"/>
      <c r="H44" s="3"/>
    </row>
    <row r="45" spans="2:8" ht="13.9" customHeight="1">
      <c r="B45" s="12" t="s">
        <v>58</v>
      </c>
      <c r="C45" s="6">
        <v>40</v>
      </c>
      <c r="D45" s="12" t="s">
        <v>54</v>
      </c>
      <c r="E45" s="3"/>
      <c r="F45" s="3"/>
      <c r="G45" s="3"/>
      <c r="H45" s="3"/>
    </row>
    <row r="46" spans="2:8" ht="13.9" customHeight="1">
      <c r="B46" s="12" t="s">
        <v>59</v>
      </c>
      <c r="C46" s="6">
        <v>500000</v>
      </c>
      <c r="D46" s="12" t="s">
        <v>51</v>
      </c>
      <c r="E46" s="3"/>
      <c r="F46" s="3"/>
      <c r="G46" s="3"/>
      <c r="H46" s="3"/>
    </row>
    <row r="47" spans="2:8">
      <c r="B47" s="3"/>
      <c r="C47" s="3"/>
      <c r="D47" s="3"/>
      <c r="E47" s="3"/>
      <c r="F47" s="3"/>
      <c r="G47" s="3"/>
      <c r="H47" s="3"/>
    </row>
    <row r="48" spans="2:8" ht="24" customHeight="1">
      <c r="B48" s="89" t="s">
        <v>60</v>
      </c>
      <c r="C48" s="90"/>
      <c r="D48" s="90"/>
      <c r="E48" s="90"/>
      <c r="F48" s="90"/>
      <c r="G48" s="90"/>
      <c r="H48" s="91"/>
    </row>
    <row r="49" spans="2:8" ht="14.65" customHeight="1">
      <c r="B49" s="4" t="s">
        <v>61</v>
      </c>
      <c r="C49" s="4" t="s">
        <v>41</v>
      </c>
      <c r="D49" s="4" t="s">
        <v>42</v>
      </c>
      <c r="E49" s="4" t="s">
        <v>43</v>
      </c>
      <c r="F49" s="4" t="s">
        <v>44</v>
      </c>
      <c r="G49" s="3"/>
      <c r="H49" s="3"/>
    </row>
    <row r="50" spans="2:8" ht="13.9" customHeight="1">
      <c r="B50" s="12" t="s">
        <v>50</v>
      </c>
      <c r="C50" s="10">
        <v>0</v>
      </c>
      <c r="D50" s="10">
        <v>0</v>
      </c>
      <c r="E50" s="10">
        <v>0.03</v>
      </c>
      <c r="F50" s="10">
        <v>0</v>
      </c>
      <c r="G50" s="3"/>
      <c r="H50" s="3"/>
    </row>
    <row r="51" spans="2:8" ht="13.9" customHeight="1">
      <c r="B51" s="12" t="s">
        <v>52</v>
      </c>
      <c r="C51" s="10">
        <v>0</v>
      </c>
      <c r="D51" s="10">
        <v>-0.05</v>
      </c>
      <c r="E51" s="10">
        <v>-0.05</v>
      </c>
      <c r="F51" s="10">
        <v>-0.05</v>
      </c>
      <c r="G51" s="3"/>
      <c r="H51" s="3"/>
    </row>
    <row r="52" spans="2:8" ht="13.9" customHeight="1">
      <c r="B52" s="12" t="s">
        <v>62</v>
      </c>
      <c r="C52" s="10">
        <v>0</v>
      </c>
      <c r="D52" s="10">
        <v>0.03</v>
      </c>
      <c r="E52" s="10">
        <v>0.03</v>
      </c>
      <c r="F52" s="10">
        <v>0.03</v>
      </c>
      <c r="G52" s="3"/>
      <c r="H52" s="3"/>
    </row>
    <row r="53" spans="2:8" ht="13.9" customHeight="1">
      <c r="B53" s="12" t="s">
        <v>63</v>
      </c>
      <c r="C53" s="10">
        <v>0</v>
      </c>
      <c r="D53" s="10">
        <v>0.03</v>
      </c>
      <c r="E53" s="10">
        <v>0.03</v>
      </c>
      <c r="F53" s="10">
        <v>0.03</v>
      </c>
      <c r="G53" s="3"/>
      <c r="H53" s="3"/>
    </row>
    <row r="54" spans="2:8" ht="13.9" customHeight="1">
      <c r="B54" s="12" t="s">
        <v>58</v>
      </c>
      <c r="C54" s="10">
        <v>0</v>
      </c>
      <c r="D54" s="10">
        <v>0.01</v>
      </c>
      <c r="E54" s="10">
        <v>0.01</v>
      </c>
      <c r="F54" s="10">
        <v>0.01</v>
      </c>
      <c r="G54" s="3"/>
      <c r="H54" s="3"/>
    </row>
    <row r="55" spans="2:8" ht="13.9" customHeight="1">
      <c r="B55" s="12" t="s">
        <v>59</v>
      </c>
      <c r="C55" s="10">
        <v>0</v>
      </c>
      <c r="D55" s="10">
        <v>0.03</v>
      </c>
      <c r="E55" s="10">
        <v>0.03</v>
      </c>
      <c r="F55" s="10">
        <v>0.03</v>
      </c>
      <c r="G55" s="3"/>
      <c r="H55" s="3"/>
    </row>
    <row r="56" spans="2:8">
      <c r="B56" s="3"/>
      <c r="C56" s="3"/>
      <c r="D56" s="3"/>
      <c r="E56" s="3"/>
      <c r="F56" s="3"/>
      <c r="G56" s="3"/>
      <c r="H56" s="3"/>
    </row>
    <row r="57" spans="2:8" ht="15.75" customHeight="1">
      <c r="B57" s="89" t="s">
        <v>64</v>
      </c>
      <c r="C57" s="90"/>
      <c r="D57" s="90"/>
      <c r="E57" s="90"/>
      <c r="F57" s="90"/>
      <c r="G57" s="90"/>
      <c r="H57" s="91"/>
    </row>
    <row r="58" spans="2:8" ht="13.9" customHeight="1">
      <c r="B58" s="12" t="s">
        <v>65</v>
      </c>
      <c r="C58" s="10">
        <v>0.03</v>
      </c>
      <c r="D58" s="12" t="s">
        <v>66</v>
      </c>
      <c r="E58" s="3"/>
      <c r="F58" s="3"/>
      <c r="G58" s="3"/>
      <c r="H58" s="3"/>
    </row>
    <row r="59" spans="2:8" ht="13.9" customHeight="1">
      <c r="B59" s="12" t="s">
        <v>67</v>
      </c>
      <c r="C59" s="6">
        <v>11000000</v>
      </c>
      <c r="D59" s="12" t="s">
        <v>68</v>
      </c>
      <c r="E59" s="3"/>
      <c r="F59" s="3"/>
      <c r="G59" s="3"/>
      <c r="H59" s="3"/>
    </row>
    <row r="60" spans="2:8" ht="13.9" customHeight="1">
      <c r="B60" s="12" t="s">
        <v>69</v>
      </c>
      <c r="C60" s="6">
        <v>10000000</v>
      </c>
      <c r="D60" s="12" t="s">
        <v>68</v>
      </c>
      <c r="E60" s="3"/>
      <c r="F60" s="3"/>
      <c r="G60" s="3"/>
      <c r="H60" s="3"/>
    </row>
    <row r="61" spans="2:8" ht="13.9" customHeight="1">
      <c r="B61" s="12" t="s">
        <v>70</v>
      </c>
      <c r="C61" s="10">
        <v>0.25</v>
      </c>
      <c r="D61" s="12" t="s">
        <v>71</v>
      </c>
      <c r="E61" s="3"/>
      <c r="F61" s="3"/>
      <c r="G61" s="3"/>
      <c r="H61" s="3"/>
    </row>
    <row r="62" spans="2:8" ht="13.9" customHeight="1">
      <c r="B62" s="12" t="s">
        <v>72</v>
      </c>
      <c r="C62" s="10">
        <v>0.12</v>
      </c>
      <c r="D62" s="12" t="s">
        <v>73</v>
      </c>
      <c r="E62" s="3"/>
      <c r="F62" s="3"/>
      <c r="G62" s="3"/>
      <c r="H62" s="3"/>
    </row>
    <row r="63" spans="2:8" ht="13.9" customHeight="1">
      <c r="B63" s="12" t="s">
        <v>74</v>
      </c>
      <c r="C63" s="10">
        <v>0.08</v>
      </c>
      <c r="D63" s="12" t="s">
        <v>75</v>
      </c>
      <c r="E63" s="3"/>
      <c r="F63" s="3"/>
      <c r="G63" s="3"/>
      <c r="H63" s="3"/>
    </row>
    <row r="64" spans="2:8" ht="13.9" customHeight="1">
      <c r="B64" s="12" t="s">
        <v>76</v>
      </c>
      <c r="C64" s="6">
        <v>3</v>
      </c>
      <c r="D64" s="12" t="s">
        <v>77</v>
      </c>
      <c r="E64" s="3"/>
      <c r="F64" s="3"/>
      <c r="G64" s="3"/>
      <c r="H64" s="3"/>
    </row>
    <row r="65" spans="2:8">
      <c r="B65" s="3"/>
      <c r="C65" s="3"/>
      <c r="D65" s="3"/>
      <c r="E65" s="3"/>
      <c r="F65" s="3"/>
      <c r="G65" s="3"/>
      <c r="H65" s="3"/>
    </row>
  </sheetData>
  <mergeCells count="8">
    <mergeCell ref="B32:H32"/>
    <mergeCell ref="B1:H1"/>
    <mergeCell ref="B57:H57"/>
    <mergeCell ref="B39:H39"/>
    <mergeCell ref="B48:H48"/>
    <mergeCell ref="B15:H15"/>
    <mergeCell ref="B25:H25"/>
    <mergeCell ref="B3:H3"/>
  </mergeCells>
  <phoneticPr fontId="18" type="noConversion"/>
  <pageMargins left="0.25" right="0.25" top="0.35" bottom="0.35" header="0.15" footer="0.15"/>
  <pageSetup paperSize="9" scale="7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G34"/>
  <sheetViews>
    <sheetView showGridLines="0" workbookViewId="0"/>
  </sheetViews>
  <sheetFormatPr defaultRowHeight="13.5"/>
  <cols>
    <col min="1" max="1" width="3" customWidth="1"/>
    <col min="2" max="2" width="36" customWidth="1"/>
    <col min="3" max="7" width="16" customWidth="1"/>
  </cols>
  <sheetData>
    <row r="1" spans="2:7" ht="18.399999999999999" customHeight="1">
      <c r="B1" s="92" t="s">
        <v>78</v>
      </c>
      <c r="C1" s="90"/>
      <c r="D1" s="90"/>
      <c r="E1" s="90"/>
      <c r="F1" s="90"/>
      <c r="G1" s="91"/>
    </row>
    <row r="2" spans="2:7">
      <c r="B2" s="94" t="s">
        <v>79</v>
      </c>
      <c r="C2" s="90"/>
      <c r="D2" s="90"/>
      <c r="E2" s="90"/>
      <c r="F2" s="90"/>
      <c r="G2" s="91"/>
    </row>
    <row r="3" spans="2:7">
      <c r="B3" s="3"/>
      <c r="C3" s="3"/>
      <c r="D3" s="3"/>
      <c r="E3" s="3"/>
      <c r="F3" s="3"/>
      <c r="G3" s="3"/>
    </row>
    <row r="4" spans="2:7" ht="36" customHeight="1">
      <c r="B4" s="13" t="s">
        <v>80</v>
      </c>
      <c r="C4" s="13" t="s">
        <v>81</v>
      </c>
      <c r="D4" s="13" t="s">
        <v>82</v>
      </c>
      <c r="E4" s="13" t="s">
        <v>83</v>
      </c>
      <c r="F4" s="13" t="s">
        <v>84</v>
      </c>
      <c r="G4" s="13" t="s">
        <v>85</v>
      </c>
    </row>
    <row r="5" spans="2:7" ht="14.65" customHeight="1">
      <c r="B5" s="93" t="s">
        <v>86</v>
      </c>
      <c r="C5" s="90"/>
      <c r="D5" s="90"/>
      <c r="E5" s="90"/>
      <c r="F5" s="90"/>
      <c r="G5" s="91"/>
    </row>
    <row r="6" spans="2:7" ht="13.9" customHeight="1">
      <c r="B6" s="12" t="s">
        <v>87</v>
      </c>
      <c r="C6" s="14">
        <f>156104.99*0.8*184*(1+0)/10000</f>
        <v>2297.8654528000002</v>
      </c>
      <c r="D6" s="14">
        <f>156104.99*0.95*365*(1+0)/10000</f>
        <v>5412.9405282499993</v>
      </c>
      <c r="E6" s="14">
        <f>156104.99*0.95*366*(1+0)/10000</f>
        <v>5427.7705022999999</v>
      </c>
      <c r="F6" s="14">
        <f>156104.99*0.95*365*(1+0.03)/10000</f>
        <v>5575.3287440974991</v>
      </c>
      <c r="G6" s="3"/>
    </row>
    <row r="7" spans="2:7" ht="13.9" customHeight="1">
      <c r="B7" s="12" t="s">
        <v>88</v>
      </c>
      <c r="C7" s="14">
        <f>1005*3*6*0.5*275/10000</f>
        <v>248.73750000000001</v>
      </c>
      <c r="D7" s="14">
        <f>1005*3*6*0.6*365/10000</f>
        <v>396.17099999999999</v>
      </c>
      <c r="E7" s="14">
        <f>1005*3*6*0.7*366/10000</f>
        <v>463.4658</v>
      </c>
      <c r="F7" s="14">
        <f>1005*3*6*0.8*365/10000</f>
        <v>528.22799999999995</v>
      </c>
      <c r="G7" s="3"/>
    </row>
    <row r="8" spans="2:7" ht="13.9" customHeight="1">
      <c r="B8" s="12" t="s">
        <v>89</v>
      </c>
      <c r="C8" s="14">
        <f>62629.76*0.8*10*9/10000</f>
        <v>450.93427200000008</v>
      </c>
      <c r="D8" s="14">
        <f>62629.76*0.95*10*12/10000</f>
        <v>713.97926399999994</v>
      </c>
      <c r="E8" s="14">
        <f>62629.76*0.95*10*12/10000</f>
        <v>713.97926399999994</v>
      </c>
      <c r="F8" s="14">
        <f>62629.76*0.95*10*12/10000</f>
        <v>713.97926399999994</v>
      </c>
      <c r="G8" s="3"/>
    </row>
    <row r="9" spans="2:7" ht="14.65" customHeight="1">
      <c r="B9" s="15" t="s">
        <v>90</v>
      </c>
      <c r="C9" s="16">
        <f>C6+C7+C8</f>
        <v>2997.5372248000003</v>
      </c>
      <c r="D9" s="16">
        <f>D6+D7+D8</f>
        <v>6523.0907922499991</v>
      </c>
      <c r="E9" s="16">
        <f>E6+E7+E8</f>
        <v>6605.2155662999994</v>
      </c>
      <c r="F9" s="16">
        <f>F6+F7+F8</f>
        <v>6817.5360080974988</v>
      </c>
      <c r="G9" s="3"/>
    </row>
    <row r="10" spans="2:7" ht="14.65" customHeight="1">
      <c r="B10" s="96" t="s">
        <v>91</v>
      </c>
      <c r="C10" s="90"/>
      <c r="D10" s="90"/>
      <c r="E10" s="90"/>
      <c r="F10" s="90"/>
      <c r="G10" s="91"/>
    </row>
    <row r="11" spans="2:7" ht="13.9" customHeight="1">
      <c r="B11" s="12" t="s">
        <v>92</v>
      </c>
      <c r="C11" s="14">
        <f>5000000/10000*9/12</f>
        <v>375</v>
      </c>
      <c r="D11" s="14">
        <f>5000000/10000</f>
        <v>500</v>
      </c>
      <c r="E11" s="14">
        <f>D11*(1+3%)</f>
        <v>515</v>
      </c>
      <c r="F11" s="14">
        <f>E11</f>
        <v>515</v>
      </c>
      <c r="G11" s="3"/>
    </row>
    <row r="12" spans="2:7" ht="13.9" customHeight="1">
      <c r="B12" s="12" t="s">
        <v>93</v>
      </c>
      <c r="C12" s="14">
        <f>5000000/10000*9/12</f>
        <v>375</v>
      </c>
      <c r="D12" s="14">
        <f>5000000/10000*(1-5%)</f>
        <v>475</v>
      </c>
      <c r="E12" s="14">
        <f>D12*(1-5%)</f>
        <v>451.25</v>
      </c>
      <c r="F12" s="14">
        <f>E12*(1-5%)</f>
        <v>428.6875</v>
      </c>
      <c r="G12" s="3"/>
    </row>
    <row r="13" spans="2:7" ht="13.9" customHeight="1">
      <c r="B13" s="12" t="s">
        <v>94</v>
      </c>
      <c r="C13" s="14">
        <f>107039.13*15/10000*9/12</f>
        <v>120.41902125000001</v>
      </c>
      <c r="D13" s="14">
        <f>107039.13*15/10000*(1+3%)</f>
        <v>165.37545585000004</v>
      </c>
      <c r="E13" s="14">
        <f>D13*(1+3%)</f>
        <v>170.33671952550003</v>
      </c>
      <c r="F13" s="14">
        <f>E13*(1+3%)</f>
        <v>175.44682111126502</v>
      </c>
      <c r="G13" s="3"/>
    </row>
    <row r="14" spans="2:7" ht="13.9" customHeight="1">
      <c r="B14" s="12" t="s">
        <v>95</v>
      </c>
      <c r="C14" s="14">
        <f>C6*2.5%</f>
        <v>57.44663632000001</v>
      </c>
      <c r="D14" s="14">
        <f>D6*2.5%</f>
        <v>135.32351320625</v>
      </c>
      <c r="E14" s="14">
        <f>E6*2.5%</f>
        <v>135.6942625575</v>
      </c>
      <c r="F14" s="14">
        <f>F6*2.5%</f>
        <v>139.38321860243749</v>
      </c>
      <c r="G14" s="3"/>
    </row>
    <row r="15" spans="2:7" ht="13.9" customHeight="1">
      <c r="B15" s="12" t="s">
        <v>96</v>
      </c>
      <c r="C15" s="14">
        <f>107039.13*30/10000*9/12</f>
        <v>240.83804250000003</v>
      </c>
      <c r="D15" s="14">
        <f>107039.13*30/10000*(1+3%)</f>
        <v>330.75091170000007</v>
      </c>
      <c r="E15" s="14">
        <f>D15*(1+3%)</f>
        <v>340.67343905100006</v>
      </c>
      <c r="F15" s="14">
        <f>E15*(1+3%)</f>
        <v>350.89364222253005</v>
      </c>
      <c r="G15" s="3"/>
    </row>
    <row r="16" spans="2:7" ht="13.9" customHeight="1">
      <c r="B16" s="12" t="s">
        <v>97</v>
      </c>
      <c r="C16" s="14">
        <f>107039.13*40/10000*9/12</f>
        <v>321.11739</v>
      </c>
      <c r="D16" s="14">
        <f>107039.13*40/10000*(1+1%)</f>
        <v>432.43808519999999</v>
      </c>
      <c r="E16" s="14">
        <f>D16*(1+1%)</f>
        <v>436.76246605199998</v>
      </c>
      <c r="F16" s="14">
        <f>E16*(1+1%)</f>
        <v>441.13009071251997</v>
      </c>
      <c r="G16" s="3"/>
    </row>
    <row r="17" spans="2:7" ht="13.9" customHeight="1">
      <c r="B17" s="12" t="s">
        <v>98</v>
      </c>
      <c r="C17" s="14">
        <f>500000/10000*9/12</f>
        <v>37.5</v>
      </c>
      <c r="D17" s="14">
        <f>500000/10000*(1+3%)</f>
        <v>51.5</v>
      </c>
      <c r="E17" s="14">
        <f>D17*(1+3%)</f>
        <v>53.045000000000002</v>
      </c>
      <c r="F17" s="14">
        <f>E17*(1+3%)</f>
        <v>54.63635</v>
      </c>
      <c r="G17" s="3"/>
    </row>
    <row r="18" spans="2:7" ht="14.65" customHeight="1">
      <c r="B18" s="17" t="s">
        <v>99</v>
      </c>
      <c r="C18" s="18">
        <f>C11+C12+C13+C14+C15+C16+C17</f>
        <v>1527.3210900700001</v>
      </c>
      <c r="D18" s="18">
        <f>D11+D12+D13+D14+D15+D16+D17</f>
        <v>2090.3879659562499</v>
      </c>
      <c r="E18" s="18">
        <f>E11+E12+E13+E14+E15+E16+E17</f>
        <v>2102.761887186</v>
      </c>
      <c r="F18" s="18">
        <f>F11+F12+F13+F14+F15+F16+F17</f>
        <v>2105.1776226487527</v>
      </c>
      <c r="G18" s="3"/>
    </row>
    <row r="19" spans="2:7" ht="14.65" customHeight="1">
      <c r="B19" s="95" t="s">
        <v>100</v>
      </c>
      <c r="C19" s="90"/>
      <c r="D19" s="90"/>
      <c r="E19" s="90"/>
      <c r="F19" s="90"/>
      <c r="G19" s="91"/>
    </row>
    <row r="20" spans="2:7" ht="14.65" customHeight="1">
      <c r="B20" s="19" t="s">
        <v>101</v>
      </c>
      <c r="C20" s="20">
        <f>C9-C18</f>
        <v>1470.2161347300002</v>
      </c>
      <c r="D20" s="20">
        <f>D9-D18</f>
        <v>4432.7028262937492</v>
      </c>
      <c r="E20" s="20">
        <f>E9-E18</f>
        <v>4502.4536791139999</v>
      </c>
      <c r="F20" s="20">
        <f>F9-F18</f>
        <v>4712.358385448746</v>
      </c>
      <c r="G20" s="3"/>
    </row>
    <row r="21" spans="2:7" ht="13.9" customHeight="1">
      <c r="B21" s="12" t="s">
        <v>102</v>
      </c>
      <c r="C21" s="14">
        <f>C20*25%</f>
        <v>367.55403368250006</v>
      </c>
      <c r="D21" s="14">
        <f>D20*25%</f>
        <v>1108.1757065734373</v>
      </c>
      <c r="E21" s="14">
        <f>E20*25%</f>
        <v>1125.6134197785</v>
      </c>
      <c r="F21" s="14">
        <f>F20*25%</f>
        <v>1178.0895963621865</v>
      </c>
      <c r="G21" s="3"/>
    </row>
    <row r="22" spans="2:7" ht="14.65" customHeight="1">
      <c r="B22" s="21" t="s">
        <v>103</v>
      </c>
      <c r="C22" s="22">
        <f>C20-C21</f>
        <v>1102.6621010475001</v>
      </c>
      <c r="D22" s="22">
        <f>D20-D21</f>
        <v>3324.5271197203119</v>
      </c>
      <c r="E22" s="22">
        <f>E20-E21</f>
        <v>3376.8402593354999</v>
      </c>
      <c r="F22" s="22">
        <f>F20-F21</f>
        <v>3534.2687890865595</v>
      </c>
      <c r="G22" s="3"/>
    </row>
    <row r="23" spans="2:7" ht="14.65" customHeight="1">
      <c r="B23" s="98" t="s">
        <v>104</v>
      </c>
      <c r="C23" s="90"/>
      <c r="D23" s="90"/>
      <c r="E23" s="90"/>
      <c r="F23" s="90"/>
      <c r="G23" s="91"/>
    </row>
    <row r="24" spans="2:7" ht="14.65" customHeight="1">
      <c r="B24" s="23" t="s">
        <v>105</v>
      </c>
      <c r="C24" s="24"/>
      <c r="D24" s="24"/>
      <c r="E24" s="24"/>
      <c r="F24" s="24">
        <f>F22/8%</f>
        <v>44178.359863581994</v>
      </c>
      <c r="G24" s="3"/>
    </row>
    <row r="25" spans="2:7" ht="14.65" customHeight="1">
      <c r="B25" s="93" t="s">
        <v>106</v>
      </c>
      <c r="C25" s="90"/>
      <c r="D25" s="90"/>
      <c r="E25" s="90"/>
      <c r="F25" s="90"/>
      <c r="G25" s="91"/>
    </row>
    <row r="26" spans="2:7" ht="14.65" customHeight="1">
      <c r="B26" s="15" t="s">
        <v>107</v>
      </c>
      <c r="C26" s="16">
        <f>C22</f>
        <v>1102.6621010475001</v>
      </c>
      <c r="D26" s="16">
        <f>D22</f>
        <v>3324.5271197203119</v>
      </c>
      <c r="E26" s="16">
        <f>E22</f>
        <v>3376.8402593354999</v>
      </c>
      <c r="F26" s="16">
        <f>F22+F24</f>
        <v>47712.628652668551</v>
      </c>
      <c r="G26" s="3"/>
    </row>
    <row r="27" spans="2:7">
      <c r="B27" s="3"/>
      <c r="C27" s="3"/>
      <c r="D27" s="3"/>
      <c r="E27" s="3"/>
      <c r="F27" s="3"/>
      <c r="G27" s="3"/>
    </row>
    <row r="28" spans="2:7" ht="15.75" customHeight="1">
      <c r="B28" s="97" t="s">
        <v>108</v>
      </c>
      <c r="C28" s="90"/>
      <c r="D28" s="90"/>
      <c r="E28" s="90"/>
      <c r="F28" s="90"/>
      <c r="G28" s="91"/>
    </row>
    <row r="29" spans="2:7" ht="13.9" customHeight="1">
      <c r="B29" s="12" t="s">
        <v>37</v>
      </c>
      <c r="C29" s="25">
        <v>0.8</v>
      </c>
      <c r="D29" s="25">
        <v>0.95</v>
      </c>
      <c r="E29" s="25">
        <v>0.95</v>
      </c>
      <c r="F29" s="25">
        <v>0.95</v>
      </c>
      <c r="G29" s="3"/>
    </row>
    <row r="30" spans="2:7" ht="13.9" customHeight="1">
      <c r="B30" s="12" t="s">
        <v>109</v>
      </c>
      <c r="C30" s="11">
        <v>275</v>
      </c>
      <c r="D30" s="11">
        <v>365</v>
      </c>
      <c r="E30" s="11">
        <v>366</v>
      </c>
      <c r="F30" s="11">
        <v>365</v>
      </c>
      <c r="G30" s="3"/>
    </row>
    <row r="31" spans="2:7" ht="13.9" customHeight="1">
      <c r="B31" s="12" t="s">
        <v>110</v>
      </c>
      <c r="C31" s="25">
        <f>C6/C9</f>
        <v>0.76658445933171582</v>
      </c>
      <c r="D31" s="25">
        <f>D6/D9</f>
        <v>0.82981223175385577</v>
      </c>
      <c r="E31" s="25">
        <f>E6/E9</f>
        <v>0.82174010035230971</v>
      </c>
      <c r="F31" s="25">
        <f>F6/F9</f>
        <v>0.81779234278710466</v>
      </c>
      <c r="G31" s="3"/>
    </row>
    <row r="32" spans="2:7" ht="13.9" customHeight="1">
      <c r="B32" s="12" t="s">
        <v>111</v>
      </c>
      <c r="C32" s="25">
        <f>C20/C9</f>
        <v>0.49047468787584281</v>
      </c>
      <c r="D32" s="25">
        <f>D20/D9</f>
        <v>0.6795402620426787</v>
      </c>
      <c r="E32" s="25">
        <f>E20/E9</f>
        <v>0.68165128509743855</v>
      </c>
      <c r="F32" s="25">
        <f>F20/F9</f>
        <v>0.69121136725228338</v>
      </c>
      <c r="G32" s="3"/>
    </row>
    <row r="33" spans="2:7">
      <c r="B33" s="3"/>
      <c r="C33" s="3"/>
      <c r="D33" s="3"/>
      <c r="E33" s="3"/>
      <c r="F33" s="3"/>
      <c r="G33" s="3"/>
    </row>
    <row r="34" spans="2:7">
      <c r="B34" s="3"/>
      <c r="C34" s="3"/>
      <c r="D34" s="3"/>
      <c r="E34" s="3"/>
      <c r="F34" s="3"/>
      <c r="G34" s="3"/>
    </row>
  </sheetData>
  <mergeCells count="8">
    <mergeCell ref="B28:G28"/>
    <mergeCell ref="B5:G5"/>
    <mergeCell ref="B23:G23"/>
    <mergeCell ref="B1:G1"/>
    <mergeCell ref="B25:G25"/>
    <mergeCell ref="B2:G2"/>
    <mergeCell ref="B19:G19"/>
    <mergeCell ref="B10:G10"/>
  </mergeCells>
  <phoneticPr fontId="18" type="noConversion"/>
  <pageMargins left="0.25" right="0.25" top="0.35" bottom="0.35" header="0.15" footer="0.1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F24"/>
  <sheetViews>
    <sheetView showGridLines="0" workbookViewId="0"/>
  </sheetViews>
  <sheetFormatPr defaultRowHeight="13.5"/>
  <cols>
    <col min="1" max="1" width="3" customWidth="1"/>
    <col min="2" max="2" width="30" customWidth="1"/>
    <col min="3" max="6" width="16" customWidth="1"/>
  </cols>
  <sheetData>
    <row r="1" spans="2:6" ht="18.399999999999999" customHeight="1">
      <c r="B1" s="92" t="s">
        <v>112</v>
      </c>
      <c r="C1" s="90"/>
      <c r="D1" s="90"/>
      <c r="E1" s="90"/>
      <c r="F1" s="91"/>
    </row>
    <row r="2" spans="2:6">
      <c r="B2" s="94" t="s">
        <v>113</v>
      </c>
      <c r="C2" s="90"/>
      <c r="D2" s="90"/>
      <c r="E2" s="90"/>
      <c r="F2" s="91"/>
    </row>
    <row r="3" spans="2:6">
      <c r="B3" s="3"/>
      <c r="C3" s="3"/>
      <c r="D3" s="3"/>
      <c r="E3" s="3"/>
      <c r="F3" s="3"/>
    </row>
    <row r="4" spans="2:6" ht="30" customHeight="1">
      <c r="B4" s="13" t="s">
        <v>80</v>
      </c>
      <c r="C4" s="13" t="s">
        <v>114</v>
      </c>
      <c r="D4" s="13" t="s">
        <v>115</v>
      </c>
      <c r="E4" s="13" t="s">
        <v>116</v>
      </c>
      <c r="F4" s="13" t="s">
        <v>117</v>
      </c>
    </row>
    <row r="5" spans="2:6" ht="14.65" customHeight="1">
      <c r="B5" s="93" t="s">
        <v>118</v>
      </c>
      <c r="C5" s="90"/>
      <c r="D5" s="90"/>
      <c r="E5" s="90"/>
      <c r="F5" s="91"/>
    </row>
    <row r="6" spans="2:6" ht="13.9" customHeight="1">
      <c r="B6" s="26" t="s">
        <v>119</v>
      </c>
      <c r="C6" s="27">
        <v>0</v>
      </c>
      <c r="D6" s="27">
        <v>0</v>
      </c>
      <c r="E6" s="27">
        <f>156104.99*0.8*92/10000</f>
        <v>1148.9327264000001</v>
      </c>
      <c r="F6" s="27">
        <f>156104.99*0.8*92/10000</f>
        <v>1148.9327264000001</v>
      </c>
    </row>
    <row r="7" spans="2:6" ht="13.9" customHeight="1">
      <c r="B7" s="12" t="s">
        <v>120</v>
      </c>
      <c r="C7" s="14">
        <f>1005*3*6*0.5*0/10000</f>
        <v>0</v>
      </c>
      <c r="D7" s="14">
        <f>1005*3*6*0.5*91/10000</f>
        <v>82.3095</v>
      </c>
      <c r="E7" s="14">
        <f>1005*3*6*0.5*92/10000</f>
        <v>83.213999999999999</v>
      </c>
      <c r="F7" s="14">
        <f>1005*3*6*0.5*92/10000</f>
        <v>83.213999999999999</v>
      </c>
    </row>
    <row r="8" spans="2:6" ht="13.9" customHeight="1">
      <c r="B8" s="12" t="s">
        <v>121</v>
      </c>
      <c r="C8" s="14">
        <v>0</v>
      </c>
      <c r="D8" s="14">
        <f>62629.76*0.8*10*3/10000</f>
        <v>150.31142400000002</v>
      </c>
      <c r="E8" s="14">
        <f>62629.76*0.8*10*3/10000</f>
        <v>150.31142400000002</v>
      </c>
      <c r="F8" s="14">
        <f>62629.76*0.8*10*3/10000</f>
        <v>150.31142400000002</v>
      </c>
    </row>
    <row r="9" spans="2:6" ht="14.65" customHeight="1">
      <c r="B9" s="15" t="s">
        <v>122</v>
      </c>
      <c r="C9" s="16">
        <f>C6+C7+C8</f>
        <v>0</v>
      </c>
      <c r="D9" s="16">
        <f>D6+D7+D8</f>
        <v>232.620924</v>
      </c>
      <c r="E9" s="16">
        <f>E6+E7+E8</f>
        <v>1382.4581504</v>
      </c>
      <c r="F9" s="16">
        <f>F6+F7+F8</f>
        <v>1382.4581504</v>
      </c>
    </row>
    <row r="10" spans="2:6" ht="14.65" customHeight="1">
      <c r="B10" s="96" t="s">
        <v>123</v>
      </c>
      <c r="C10" s="90"/>
      <c r="D10" s="90"/>
      <c r="E10" s="90"/>
      <c r="F10" s="91"/>
    </row>
    <row r="11" spans="2:6" ht="13.9" customHeight="1">
      <c r="B11" s="28" t="s">
        <v>124</v>
      </c>
      <c r="C11" s="29">
        <f>0</f>
        <v>0</v>
      </c>
      <c r="D11" s="29">
        <f>1527.32203941316/3</f>
        <v>509.10734647105329</v>
      </c>
      <c r="E11" s="29">
        <f>1527.32203941316/3</f>
        <v>509.10734647105329</v>
      </c>
      <c r="F11" s="29">
        <f>1527.32203941316/3</f>
        <v>509.10734647105329</v>
      </c>
    </row>
    <row r="12" spans="2:6" ht="14.65" customHeight="1">
      <c r="B12" s="95" t="s">
        <v>125</v>
      </c>
      <c r="C12" s="90"/>
      <c r="D12" s="90"/>
      <c r="E12" s="90"/>
      <c r="F12" s="91"/>
    </row>
    <row r="13" spans="2:6" ht="14.65" customHeight="1">
      <c r="B13" s="21" t="s">
        <v>126</v>
      </c>
      <c r="C13" s="22">
        <f>C9-C11</f>
        <v>0</v>
      </c>
      <c r="D13" s="22">
        <f>D9-D11</f>
        <v>-276.48642247105329</v>
      </c>
      <c r="E13" s="22">
        <f>E9-E11</f>
        <v>873.35080392894679</v>
      </c>
      <c r="F13" s="22">
        <f>F9-F11</f>
        <v>873.35080392894679</v>
      </c>
    </row>
    <row r="14" spans="2:6">
      <c r="B14" s="3"/>
      <c r="C14" s="3"/>
      <c r="D14" s="3"/>
      <c r="E14" s="3"/>
      <c r="F14" s="3"/>
    </row>
    <row r="15" spans="2:6" ht="14.65" customHeight="1">
      <c r="B15" s="101" t="s">
        <v>127</v>
      </c>
      <c r="C15" s="90"/>
      <c r="D15" s="90"/>
      <c r="E15" s="90"/>
      <c r="F15" s="91"/>
    </row>
    <row r="16" spans="2:6" ht="29.25" customHeight="1">
      <c r="B16" s="23" t="s">
        <v>128</v>
      </c>
      <c r="C16" s="24" t="s">
        <v>129</v>
      </c>
      <c r="D16" s="24" t="s">
        <v>129</v>
      </c>
      <c r="E16" s="24" t="s">
        <v>129</v>
      </c>
      <c r="F16" s="24">
        <f>1102.6621010475</f>
        <v>1102.6621010475001</v>
      </c>
    </row>
    <row r="17" spans="2:6">
      <c r="B17" s="3"/>
      <c r="C17" s="3"/>
      <c r="D17" s="3"/>
      <c r="E17" s="3"/>
      <c r="F17" s="3"/>
    </row>
    <row r="18" spans="2:6">
      <c r="B18" s="3"/>
      <c r="C18" s="3"/>
      <c r="D18" s="3"/>
      <c r="E18" s="3"/>
      <c r="F18" s="3"/>
    </row>
    <row r="19" spans="2:6" ht="14.65" customHeight="1">
      <c r="B19" s="101" t="s">
        <v>130</v>
      </c>
      <c r="C19" s="90"/>
      <c r="D19" s="90"/>
      <c r="E19" s="90"/>
      <c r="F19" s="91"/>
    </row>
    <row r="20" spans="2:6" ht="30" customHeight="1">
      <c r="B20" s="100" t="s">
        <v>131</v>
      </c>
      <c r="C20" s="90"/>
      <c r="D20" s="90"/>
      <c r="E20" s="90"/>
      <c r="F20" s="91"/>
    </row>
    <row r="21" spans="2:6" ht="30" customHeight="1">
      <c r="B21" s="100" t="s">
        <v>132</v>
      </c>
      <c r="C21" s="90"/>
      <c r="D21" s="90"/>
      <c r="E21" s="90"/>
      <c r="F21" s="91"/>
    </row>
    <row r="22" spans="2:6" ht="24" customHeight="1">
      <c r="B22" s="100" t="s">
        <v>133</v>
      </c>
      <c r="C22" s="90"/>
      <c r="D22" s="90"/>
      <c r="E22" s="90"/>
      <c r="F22" s="91"/>
    </row>
    <row r="23" spans="2:6" ht="38" customHeight="1">
      <c r="B23" s="99" t="s">
        <v>134</v>
      </c>
      <c r="C23" s="90"/>
      <c r="D23" s="90"/>
      <c r="E23" s="90"/>
      <c r="F23" s="91"/>
    </row>
    <row r="24" spans="2:6">
      <c r="B24" s="3"/>
      <c r="C24" s="3"/>
      <c r="D24" s="3"/>
      <c r="E24" s="3"/>
      <c r="F24" s="3"/>
    </row>
  </sheetData>
  <mergeCells count="11">
    <mergeCell ref="B23:F23"/>
    <mergeCell ref="B1:F1"/>
    <mergeCell ref="B22:F22"/>
    <mergeCell ref="B21:F21"/>
    <mergeCell ref="B12:F12"/>
    <mergeCell ref="B2:F2"/>
    <mergeCell ref="B20:F20"/>
    <mergeCell ref="B15:F15"/>
    <mergeCell ref="B10:F10"/>
    <mergeCell ref="B5:F5"/>
    <mergeCell ref="B19:F19"/>
  </mergeCells>
  <phoneticPr fontId="18" type="noConversion"/>
  <pageMargins left="0.25" right="0.25" top="0.35" bottom="0.35" header="0.15" footer="0.1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G30"/>
  <sheetViews>
    <sheetView showGridLines="0" workbookViewId="0"/>
  </sheetViews>
  <sheetFormatPr defaultRowHeight="13.5"/>
  <cols>
    <col min="1" max="1" width="3" customWidth="1"/>
    <col min="2" max="2" width="28" customWidth="1"/>
    <col min="3" max="3" width="20" customWidth="1"/>
    <col min="4" max="4" width="18" customWidth="1"/>
    <col min="5" max="5" width="14" customWidth="1"/>
    <col min="6" max="6" width="16" customWidth="1"/>
    <col min="7" max="7" width="10" customWidth="1"/>
  </cols>
  <sheetData>
    <row r="1" spans="2:7" ht="18.399999999999999" customHeight="1">
      <c r="B1" s="92" t="s">
        <v>135</v>
      </c>
      <c r="C1" s="90"/>
      <c r="D1" s="90"/>
      <c r="E1" s="90"/>
      <c r="F1" s="90"/>
      <c r="G1" s="91"/>
    </row>
    <row r="2" spans="2:7">
      <c r="B2" s="3"/>
      <c r="C2" s="3"/>
      <c r="D2" s="3"/>
      <c r="E2" s="3"/>
      <c r="F2" s="3"/>
      <c r="G2" s="3"/>
    </row>
    <row r="3" spans="2:7" ht="15.75" customHeight="1">
      <c r="B3" s="89" t="s">
        <v>136</v>
      </c>
      <c r="C3" s="90"/>
      <c r="D3" s="90"/>
      <c r="E3" s="90"/>
      <c r="F3" s="90"/>
      <c r="G3" s="91"/>
    </row>
    <row r="4" spans="2:7" ht="14.65" customHeight="1">
      <c r="B4" s="67" t="s">
        <v>137</v>
      </c>
      <c r="C4" s="67" t="s">
        <v>138</v>
      </c>
      <c r="D4" s="67" t="s">
        <v>139</v>
      </c>
      <c r="E4" s="67" t="s">
        <v>140</v>
      </c>
      <c r="F4" s="67" t="s">
        <v>141</v>
      </c>
      <c r="G4" s="68"/>
    </row>
    <row r="5" spans="2:7" ht="18" customHeight="1">
      <c r="B5" s="69" t="s">
        <v>142</v>
      </c>
      <c r="C5" s="70" t="s">
        <v>143</v>
      </c>
      <c r="D5" s="14">
        <f>1102.6621010475</f>
        <v>1102.6621010475001</v>
      </c>
      <c r="E5" s="31">
        <f>1/(1+12%)^1</f>
        <v>0.89285714285714279</v>
      </c>
      <c r="F5" s="71">
        <f>D5*E5</f>
        <v>984.519733078125</v>
      </c>
      <c r="G5" s="72"/>
    </row>
    <row r="6" spans="2:7" ht="18" customHeight="1">
      <c r="B6" s="69" t="s">
        <v>144</v>
      </c>
      <c r="C6" s="70" t="s">
        <v>145</v>
      </c>
      <c r="D6" s="14">
        <f>3324.52711972031</f>
        <v>3324.5271197203101</v>
      </c>
      <c r="E6" s="31">
        <f>1/(1+12%)^2</f>
        <v>0.79719387755102034</v>
      </c>
      <c r="F6" s="71">
        <f>D6*E6</f>
        <v>2650.2926655933593</v>
      </c>
      <c r="G6" s="72"/>
    </row>
    <row r="7" spans="2:7" ht="18" customHeight="1">
      <c r="B7" s="69" t="s">
        <v>146</v>
      </c>
      <c r="C7" s="70" t="s">
        <v>145</v>
      </c>
      <c r="D7" s="14">
        <f>3376.8402593355</f>
        <v>3376.8402593354999</v>
      </c>
      <c r="E7" s="31">
        <f>1/(1+12%)^3</f>
        <v>0.71178024781341087</v>
      </c>
      <c r="F7" s="71">
        <f>D7*E7</f>
        <v>2403.5681966161246</v>
      </c>
      <c r="G7" s="72"/>
    </row>
    <row r="8" spans="2:7" ht="18" customHeight="1">
      <c r="B8" s="69" t="s">
        <v>147</v>
      </c>
      <c r="C8" s="70" t="s">
        <v>148</v>
      </c>
      <c r="D8" s="14">
        <f>47712.6286526685</f>
        <v>47712.6286526685</v>
      </c>
      <c r="E8" s="31">
        <f>1/(1+12%)^4</f>
        <v>0.63551807840483121</v>
      </c>
      <c r="F8" s="71">
        <f>D8*E8</f>
        <v>30322.238076987174</v>
      </c>
      <c r="G8" s="72"/>
    </row>
    <row r="9" spans="2:7" ht="18" customHeight="1">
      <c r="B9" s="73" t="s">
        <v>149</v>
      </c>
      <c r="C9" s="74"/>
      <c r="D9" s="75"/>
      <c r="E9" s="76"/>
      <c r="F9" s="77">
        <f>F5+F6+F7+F8</f>
        <v>36360.618672274781</v>
      </c>
      <c r="G9" s="72"/>
    </row>
    <row r="10" spans="2:7">
      <c r="B10" s="3"/>
      <c r="C10" s="3"/>
      <c r="D10" s="3"/>
      <c r="E10" s="3"/>
      <c r="F10" s="3"/>
      <c r="G10" s="3"/>
    </row>
    <row r="11" spans="2:7" ht="15.75" customHeight="1">
      <c r="B11" s="89" t="s">
        <v>150</v>
      </c>
      <c r="C11" s="90"/>
      <c r="D11" s="90"/>
      <c r="E11" s="90"/>
      <c r="F11" s="90"/>
      <c r="G11" s="91"/>
    </row>
    <row r="12" spans="2:7" ht="13.9" customHeight="1">
      <c r="B12" s="12" t="s">
        <v>149</v>
      </c>
      <c r="C12" s="14">
        <f>F9</f>
        <v>36360.618672274781</v>
      </c>
      <c r="D12" s="12" t="s">
        <v>151</v>
      </c>
      <c r="E12" s="3"/>
      <c r="F12" s="3"/>
      <c r="G12" s="3"/>
    </row>
    <row r="13" spans="2:7" ht="13.9" customHeight="1">
      <c r="B13" s="12" t="s">
        <v>152</v>
      </c>
      <c r="C13" s="14">
        <f>-1100</f>
        <v>-1100</v>
      </c>
      <c r="D13" s="12" t="s">
        <v>151</v>
      </c>
      <c r="E13" s="3"/>
      <c r="F13" s="3"/>
      <c r="G13" s="3"/>
    </row>
    <row r="14" spans="2:7" ht="13.9" customHeight="1">
      <c r="B14" s="12" t="s">
        <v>153</v>
      </c>
      <c r="C14" s="14">
        <f>-1000</f>
        <v>-1000</v>
      </c>
      <c r="D14" s="12" t="s">
        <v>151</v>
      </c>
      <c r="E14" s="3"/>
      <c r="F14" s="3"/>
      <c r="G14" s="3"/>
    </row>
    <row r="15" spans="2:7" ht="34.049999999999997" customHeight="1">
      <c r="B15" s="21" t="s">
        <v>154</v>
      </c>
      <c r="C15" s="22">
        <f>C12+C13+C14</f>
        <v>34260.618672274781</v>
      </c>
      <c r="D15" s="32" t="s">
        <v>151</v>
      </c>
      <c r="E15" s="3"/>
      <c r="F15" s="3"/>
      <c r="G15" s="3"/>
    </row>
    <row r="16" spans="2:7" ht="13.9" customHeight="1">
      <c r="B16" s="12" t="s">
        <v>155</v>
      </c>
      <c r="C16" s="33">
        <f>1+3%</f>
        <v>1.03</v>
      </c>
      <c r="D16" s="12" t="s">
        <v>156</v>
      </c>
      <c r="E16" s="3"/>
      <c r="F16" s="3"/>
      <c r="G16" s="3"/>
    </row>
    <row r="17" spans="2:7" ht="14.65" customHeight="1">
      <c r="B17" s="21" t="s">
        <v>157</v>
      </c>
      <c r="C17" s="22">
        <f>C15/C16</f>
        <v>33262.736575024057</v>
      </c>
      <c r="D17" s="32" t="s">
        <v>151</v>
      </c>
      <c r="E17" s="3"/>
      <c r="F17" s="3"/>
      <c r="G17" s="3"/>
    </row>
    <row r="18" spans="2:7" ht="13.9" customHeight="1">
      <c r="B18" s="12" t="s">
        <v>158</v>
      </c>
      <c r="C18" s="14">
        <f>C17*3%</f>
        <v>997.8820972507217</v>
      </c>
      <c r="D18" s="12" t="s">
        <v>151</v>
      </c>
      <c r="E18" s="3"/>
      <c r="F18" s="3"/>
      <c r="G18" s="3"/>
    </row>
    <row r="19" spans="2:7" ht="13.9" customHeight="1">
      <c r="B19" s="12" t="s">
        <v>159</v>
      </c>
      <c r="C19" s="14">
        <f>1100</f>
        <v>1100</v>
      </c>
      <c r="D19" s="12" t="s">
        <v>151</v>
      </c>
      <c r="E19" s="3"/>
      <c r="F19" s="3"/>
      <c r="G19" s="3"/>
    </row>
    <row r="20" spans="2:7" ht="13.9" customHeight="1">
      <c r="B20" s="12" t="s">
        <v>160</v>
      </c>
      <c r="C20" s="14">
        <f>1000</f>
        <v>1000</v>
      </c>
      <c r="D20" s="12" t="s">
        <v>151</v>
      </c>
      <c r="E20" s="3"/>
      <c r="F20" s="3"/>
      <c r="G20" s="3"/>
    </row>
    <row r="21" spans="2:7" ht="34.049999999999997" customHeight="1">
      <c r="B21" s="21" t="s">
        <v>161</v>
      </c>
      <c r="C21" s="22">
        <f>C17*(1+3%)+C19+C20</f>
        <v>36360.618672274781</v>
      </c>
      <c r="D21" s="32" t="s">
        <v>151</v>
      </c>
      <c r="E21" s="3"/>
      <c r="F21" s="3"/>
      <c r="G21" s="3"/>
    </row>
    <row r="22" spans="2:7">
      <c r="B22" s="3"/>
      <c r="C22" s="3"/>
      <c r="D22" s="3"/>
      <c r="E22" s="3"/>
      <c r="F22" s="3"/>
      <c r="G22" s="3"/>
    </row>
    <row r="23" spans="2:7" ht="15.75" customHeight="1">
      <c r="B23" s="89" t="s">
        <v>162</v>
      </c>
      <c r="C23" s="90"/>
      <c r="D23" s="90"/>
      <c r="E23" s="90"/>
      <c r="F23" s="90"/>
      <c r="G23" s="91"/>
    </row>
    <row r="24" spans="2:7" ht="14.65" customHeight="1">
      <c r="B24" s="12" t="s">
        <v>163</v>
      </c>
      <c r="C24" s="20">
        <f>F9-C21</f>
        <v>0</v>
      </c>
      <c r="D24" s="12" t="s">
        <v>151</v>
      </c>
      <c r="E24" s="3"/>
      <c r="F24" s="3"/>
      <c r="G24" s="3"/>
    </row>
    <row r="25" spans="2:7" ht="14.65" customHeight="1">
      <c r="B25" s="12" t="s">
        <v>164</v>
      </c>
      <c r="C25" s="34">
        <f>12%</f>
        <v>0.12</v>
      </c>
      <c r="D25" s="12" t="s">
        <v>165</v>
      </c>
      <c r="E25" s="3"/>
      <c r="F25" s="3"/>
      <c r="G25" s="3"/>
    </row>
    <row r="26" spans="2:7" ht="14.65" customHeight="1">
      <c r="B26" s="12" t="s">
        <v>166</v>
      </c>
      <c r="C26" s="35">
        <f>F9/C21</f>
        <v>1</v>
      </c>
      <c r="D26" s="12" t="s">
        <v>156</v>
      </c>
      <c r="E26" s="3"/>
      <c r="F26" s="3"/>
      <c r="G26" s="3"/>
    </row>
    <row r="27" spans="2:7" ht="14.65" customHeight="1">
      <c r="B27" s="12" t="s">
        <v>167</v>
      </c>
      <c r="C27" s="35">
        <f>44178.359863582/C21</f>
        <v>1.2150057253362496</v>
      </c>
      <c r="D27" s="12" t="s">
        <v>168</v>
      </c>
      <c r="E27" s="3"/>
      <c r="F27" s="3"/>
      <c r="G27" s="3"/>
    </row>
    <row r="28" spans="2:7" ht="14.65" customHeight="1">
      <c r="B28" s="12" t="s">
        <v>169</v>
      </c>
      <c r="C28" s="35">
        <f>F9/C21</f>
        <v>1</v>
      </c>
      <c r="D28" s="12" t="s">
        <v>156</v>
      </c>
      <c r="E28" s="3"/>
      <c r="F28" s="3"/>
      <c r="G28" s="3"/>
    </row>
    <row r="29" spans="2:7">
      <c r="B29" s="3"/>
      <c r="C29" s="3"/>
      <c r="D29" s="3"/>
      <c r="E29" s="3"/>
      <c r="F29" s="3"/>
      <c r="G29" s="3"/>
    </row>
    <row r="30" spans="2:7">
      <c r="B30" s="3"/>
      <c r="C30" s="3"/>
      <c r="D30" s="3"/>
      <c r="E30" s="3"/>
      <c r="F30" s="3"/>
      <c r="G30" s="3"/>
    </row>
  </sheetData>
  <mergeCells count="4">
    <mergeCell ref="B3:G3"/>
    <mergeCell ref="B23:G23"/>
    <mergeCell ref="B11:G11"/>
    <mergeCell ref="B1:G1"/>
  </mergeCells>
  <phoneticPr fontId="18" type="noConversion"/>
  <pageMargins left="0.25" right="0.25" top="0.35" bottom="0.35" header="0.15" footer="0.1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G33"/>
  <sheetViews>
    <sheetView showGridLines="0" workbookViewId="0"/>
  </sheetViews>
  <sheetFormatPr defaultRowHeight="13.5"/>
  <cols>
    <col min="1" max="1" width="3" customWidth="1"/>
    <col min="2" max="2" width="22" customWidth="1"/>
    <col min="3" max="7" width="16" customWidth="1"/>
  </cols>
  <sheetData>
    <row r="1" spans="2:7" ht="18.399999999999999" customHeight="1">
      <c r="B1" s="92" t="s">
        <v>170</v>
      </c>
      <c r="C1" s="90"/>
      <c r="D1" s="90"/>
      <c r="E1" s="90"/>
      <c r="F1" s="90"/>
      <c r="G1" s="91"/>
    </row>
    <row r="2" spans="2:7">
      <c r="B2" s="94" t="s">
        <v>171</v>
      </c>
      <c r="C2" s="90"/>
      <c r="D2" s="90"/>
      <c r="E2" s="90"/>
      <c r="F2" s="90"/>
      <c r="G2" s="91"/>
    </row>
    <row r="3" spans="2:7">
      <c r="B3" s="3"/>
      <c r="C3" s="3"/>
      <c r="D3" s="3"/>
      <c r="E3" s="3"/>
      <c r="F3" s="3"/>
      <c r="G3" s="3"/>
    </row>
    <row r="4" spans="2:7" ht="14.65" customHeight="1">
      <c r="B4" s="30" t="s">
        <v>172</v>
      </c>
      <c r="C4" s="79">
        <v>-0.03</v>
      </c>
      <c r="D4" s="79">
        <v>0</v>
      </c>
      <c r="E4" s="79">
        <v>0.03</v>
      </c>
      <c r="F4" s="79">
        <v>0.05</v>
      </c>
      <c r="G4" s="79">
        <v>0.08</v>
      </c>
    </row>
    <row r="5" spans="2:7" ht="14.65" customHeight="1">
      <c r="B5" s="80">
        <v>0.7</v>
      </c>
      <c r="C5" s="36">
        <f>((((((156104.99*($B5-15%)*184/10000)+248.7375+(62629.76*($B5-15%)*10*9/10000))-(1469.87445375+(156104.99*($B5-15%)*184/10000)*2.5%))*75%)/(1+12%)^1+((((156104.99*$B5*365/10000)+396.171+(62629.76*$B5*10*12/10000))-(1955.06445274999+(156104.99*$B5*365/10000)*2.5%))*75%)/(1+12%)^2+((((156104.99*$B5*366/10000)+463.4658+(62629.76*$B5*10*12/10000))-(1967.0676246285+(156104.99*$B5*366/10000)*2.5%))*75%)/(1+12%)^3+(((((156104.99*$B5*365*(1+C4)/10000)+528.228+(62629.76*$B5*10*12/10000))-(1965.79440404631+(156104.99*$B5*365*(1+C4)/10000)*2.5%))*75%)+((((156104.99*$B5*365*(1+C4)/10000)+528.228+(62629.76*$B5*10*12/10000))-(1965.79440404631+(156104.99*$B5*365*(1+C4)/10000)*2.5%))*75%)/8%)/(1+12%)^4)-1100-1000)/(1+3%)</f>
        <v>19413.380368266433</v>
      </c>
      <c r="D5" s="37">
        <f>((((((156104.99*($B5-15%)*184/10000)+248.7375+(62629.76*($B5-15%)*10*9/10000))-(1469.87445375+(156104.99*($B5-15%)*184/10000)*2.5%))*75%)/(1+12%)^1+((((156104.99*$B5*365/10000)+396.171+(62629.76*$B5*10*12/10000))-(1955.06445274999+(156104.99*$B5*365/10000)*2.5%))*75%)/(1+12%)^2+((((156104.99*$B5*366/10000)+463.4658+(62629.76*$B5*10*12/10000))-(1967.0676246285+(156104.99*$B5*366/10000)*2.5%))*75%)/(1+12%)^3+(((((156104.99*$B5*365*(1+D4)/10000)+528.228+(62629.76*$B5*10*12/10000))-(1965.79440404631+(156104.99*$B5*365*(1+D4)/10000)*2.5%))*75%)+((((156104.99*$B5*365*(1+D4)/10000)+528.228+(62629.76*$B5*10*12/10000))-(1965.79440404631+(156104.99*$B5*365*(1+D4)/10000)*2.5%))*75%)/8%)/(1+12%)^4)-1100-1000)/(1+3%)</f>
        <v>20142.198682235692</v>
      </c>
      <c r="E5" s="38">
        <f>((((((156104.99*($B5-15%)*184/10000)+248.7375+(62629.76*($B5-15%)*10*9/10000))-(1469.87445375+(156104.99*($B5-15%)*184/10000)*2.5%))*75%)/(1+12%)^1+((((156104.99*$B5*365/10000)+396.171+(62629.76*$B5*10*12/10000))-(1955.06445274999+(156104.99*$B5*365/10000)*2.5%))*75%)/(1+12%)^2+((((156104.99*$B5*366/10000)+463.4658+(62629.76*$B5*10*12/10000))-(1967.0676246285+(156104.99*$B5*366/10000)*2.5%))*75%)/(1+12%)^3+(((((156104.99*$B5*365*(1+E4)/10000)+528.228+(62629.76*$B5*10*12/10000))-(1965.79440404631+(156104.99*$B5*365*(1+E4)/10000)*2.5%))*75%)+((((156104.99*$B5*365*(1+E4)/10000)+528.228+(62629.76*$B5*10*12/10000))-(1965.79440404631+(156104.99*$B5*365*(1+E4)/10000)*2.5%))*75%)/8%)/(1+12%)^4)-1100-1000)/(1+3%)</f>
        <v>20871.01699620494</v>
      </c>
      <c r="F5" s="39">
        <f>((((((156104.99*($B5-15%)*184/10000)+248.7375+(62629.76*($B5-15%)*10*9/10000))-(1469.87445375+(156104.99*($B5-15%)*184/10000)*2.5%))*75%)/(1+12%)^1+((((156104.99*$B5*365/10000)+396.171+(62629.76*$B5*10*12/10000))-(1955.06445274999+(156104.99*$B5*365/10000)*2.5%))*75%)/(1+12%)^2+((((156104.99*$B5*366/10000)+463.4658+(62629.76*$B5*10*12/10000))-(1967.0676246285+(156104.99*$B5*366/10000)*2.5%))*75%)/(1+12%)^3+(((((156104.99*$B5*365*(1+F4)/10000)+528.228+(62629.76*$B5*10*12/10000))-(1965.79440404631+(156104.99*$B5*365*(1+F4)/10000)*2.5%))*75%)+((((156104.99*$B5*365*(1+F4)/10000)+528.228+(62629.76*$B5*10*12/10000))-(1965.79440404631+(156104.99*$B5*365*(1+F4)/10000)*2.5%))*75%)/8%)/(1+12%)^4)-1100-1000)/(1+3%)</f>
        <v>21356.895872184436</v>
      </c>
      <c r="G5" s="40">
        <f>((((((156104.99*($B5-15%)*184/10000)+248.7375+(62629.76*($B5-15%)*10*9/10000))-(1469.87445375+(156104.99*($B5-15%)*184/10000)*2.5%))*75%)/(1+12%)^1+((((156104.99*$B5*365/10000)+396.171+(62629.76*$B5*10*12/10000))-(1955.06445274999+(156104.99*$B5*365/10000)*2.5%))*75%)/(1+12%)^2+((((156104.99*$B5*366/10000)+463.4658+(62629.76*$B5*10*12/10000))-(1967.0676246285+(156104.99*$B5*366/10000)*2.5%))*75%)/(1+12%)^3+(((((156104.99*$B5*365*(1+G4)/10000)+528.228+(62629.76*$B5*10*12/10000))-(1965.79440404631+(156104.99*$B5*365*(1+G4)/10000)*2.5%))*75%)+((((156104.99*$B5*365*(1+G4)/10000)+528.228+(62629.76*$B5*10*12/10000))-(1965.79440404631+(156104.99*$B5*365*(1+G4)/10000)*2.5%))*75%)/8%)/(1+12%)^4)-1100-1000)/(1+3%)</f>
        <v>22085.714186153687</v>
      </c>
    </row>
    <row r="6" spans="2:7" ht="14.65" customHeight="1">
      <c r="B6" s="80">
        <v>0.75</v>
      </c>
      <c r="C6" s="41">
        <f>((((((156104.99*($B6-15%)*184/10000)+248.7375+(62629.76*($B6-15%)*10*9/10000))-(1469.87445375+(156104.99*($B6-15%)*184/10000)*2.5%))*75%)/(1+12%)^1+((((156104.99*$B6*365/10000)+396.171+(62629.76*$B6*10*12/10000))-(1955.06445274999+(156104.99*$B6*365/10000)*2.5%))*75%)/(1+12%)^2+((((156104.99*$B6*366/10000)+463.4658+(62629.76*$B6*10*12/10000))-(1967.0676246285+(156104.99*$B6*366/10000)*2.5%))*75%)/(1+12%)^3+(((((156104.99*$B6*365*(1+C4)/10000)+528.228+(62629.76*$B6*10*12/10000))-(1965.79440404631+(156104.99*$B6*365*(1+C4)/10000)*2.5%))*75%)+((((156104.99*$B6*365*(1+C4)/10000)+528.228+(62629.76*$B6*10*12/10000))-(1965.79440404631+(156104.99*$B6*365*(1+C4)/10000)*2.5%))*75%)/8%)/(1+12%)^4)-1100-1000)/(1+3%)</f>
        <v>21787.607382034676</v>
      </c>
      <c r="D6" s="42">
        <f>((((((156104.99*($B6-15%)*184/10000)+248.7375+(62629.76*($B6-15%)*10*9/10000))-(1469.87445375+(156104.99*($B6-15%)*184/10000)*2.5%))*75%)/(1+12%)^1+((((156104.99*$B6*365/10000)+396.171+(62629.76*$B6*10*12/10000))-(1955.06445274999+(156104.99*$B6*365/10000)*2.5%))*75%)/(1+12%)^2+((((156104.99*$B6*366/10000)+463.4658+(62629.76*$B6*10*12/10000))-(1967.0676246285+(156104.99*$B6*366/10000)*2.5%))*75%)/(1+12%)^3+(((((156104.99*$B6*365*(1+D4)/10000)+528.228+(62629.76*$B6*10*12/10000))-(1965.79440404631+(156104.99*$B6*365*(1+D4)/10000)*2.5%))*75%)+((((156104.99*$B6*365*(1+D4)/10000)+528.228+(62629.76*$B6*10*12/10000))-(1965.79440404631+(156104.99*$B6*365*(1+D4)/10000)*2.5%))*75%)/8%)/(1+12%)^4)-1100-1000)/(1+3%)</f>
        <v>22568.484147001727</v>
      </c>
      <c r="E6" s="43">
        <f>((((((156104.99*($B6-15%)*184/10000)+248.7375+(62629.76*($B6-15%)*10*9/10000))-(1469.87445375+(156104.99*($B6-15%)*184/10000)*2.5%))*75%)/(1+12%)^1+((((156104.99*$B6*365/10000)+396.171+(62629.76*$B6*10*12/10000))-(1955.06445274999+(156104.99*$B6*365/10000)*2.5%))*75%)/(1+12%)^2+((((156104.99*$B6*366/10000)+463.4658+(62629.76*$B6*10*12/10000))-(1967.0676246285+(156104.99*$B6*366/10000)*2.5%))*75%)/(1+12%)^3+(((((156104.99*$B6*365*(1+E4)/10000)+528.228+(62629.76*$B6*10*12/10000))-(1965.79440404631+(156104.99*$B6*365*(1+E4)/10000)*2.5%))*75%)+((((156104.99*$B6*365*(1+E4)/10000)+528.228+(62629.76*$B6*10*12/10000))-(1965.79440404631+(156104.99*$B6*365*(1+E4)/10000)*2.5%))*75%)/8%)/(1+12%)^4)-1100-1000)/(1+3%)</f>
        <v>23349.360911968783</v>
      </c>
      <c r="F6" s="44">
        <f>((((((156104.99*($B6-15%)*184/10000)+248.7375+(62629.76*($B6-15%)*10*9/10000))-(1469.87445375+(156104.99*($B6-15%)*184/10000)*2.5%))*75%)/(1+12%)^1+((((156104.99*$B6*365/10000)+396.171+(62629.76*$B6*10*12/10000))-(1955.06445274999+(156104.99*$B6*365/10000)*2.5%))*75%)/(1+12%)^2+((((156104.99*$B6*366/10000)+463.4658+(62629.76*$B6*10*12/10000))-(1967.0676246285+(156104.99*$B6*366/10000)*2.5%))*75%)/(1+12%)^3+(((((156104.99*$B6*365*(1+F4)/10000)+528.228+(62629.76*$B6*10*12/10000))-(1965.79440404631+(156104.99*$B6*365*(1+F4)/10000)*2.5%))*75%)+((((156104.99*$B6*365*(1+F4)/10000)+528.228+(62629.76*$B6*10*12/10000))-(1965.79440404631+(156104.99*$B6*365*(1+F4)/10000)*2.5%))*75%)/8%)/(1+12%)^4)-1100-1000)/(1+3%)</f>
        <v>23869.945421946813</v>
      </c>
      <c r="G6" s="45">
        <f>((((((156104.99*($B6-15%)*184/10000)+248.7375+(62629.76*($B6-15%)*10*9/10000))-(1469.87445375+(156104.99*($B6-15%)*184/10000)*2.5%))*75%)/(1+12%)^1+((((156104.99*$B6*365/10000)+396.171+(62629.76*$B6*10*12/10000))-(1955.06445274999+(156104.99*$B6*365/10000)*2.5%))*75%)/(1+12%)^2+((((156104.99*$B6*366/10000)+463.4658+(62629.76*$B6*10*12/10000))-(1967.0676246285+(156104.99*$B6*366/10000)*2.5%))*75%)/(1+12%)^3+(((((156104.99*$B6*365*(1+G4)/10000)+528.228+(62629.76*$B6*10*12/10000))-(1965.79440404631+(156104.99*$B6*365*(1+G4)/10000)*2.5%))*75%)+((((156104.99*$B6*365*(1+G4)/10000)+528.228+(62629.76*$B6*10*12/10000))-(1965.79440404631+(156104.99*$B6*365*(1+G4)/10000)*2.5%))*75%)/8%)/(1+12%)^4)-1100-1000)/(1+3%)</f>
        <v>24650.822186913862</v>
      </c>
    </row>
    <row r="7" spans="2:7" ht="14.65" customHeight="1">
      <c r="B7" s="80">
        <v>0.8</v>
      </c>
      <c r="C7" s="46">
        <f>((((((156104.99*($B7-15%)*184/10000)+248.7375+(62629.76*($B7-15%)*10*9/10000))-(1469.87445375+(156104.99*($B7-15%)*184/10000)*2.5%))*75%)/(1+12%)^1+((((156104.99*$B7*365/10000)+396.171+(62629.76*$B7*10*12/10000))-(1955.06445274999+(156104.99*$B7*365/10000)*2.5%))*75%)/(1+12%)^2+((((156104.99*$B7*366/10000)+463.4658+(62629.76*$B7*10*12/10000))-(1967.0676246285+(156104.99*$B7*366/10000)*2.5%))*75%)/(1+12%)^3+(((((156104.99*$B7*365*(1+C4)/10000)+528.228+(62629.76*$B7*10*12/10000))-(1965.79440404631+(156104.99*$B7*365*(1+C4)/10000)*2.5%))*75%)+((((156104.99*$B7*365*(1+C4)/10000)+528.228+(62629.76*$B7*10*12/10000))-(1965.79440404631+(156104.99*$B7*365*(1+C4)/10000)*2.5%))*75%)/8%)/(1+12%)^4)-1100-1000)/(1+3%)</f>
        <v>24161.834395802904</v>
      </c>
      <c r="D7" s="47">
        <f>((((((156104.99*($B7-15%)*184/10000)+248.7375+(62629.76*($B7-15%)*10*9/10000))-(1469.87445375+(156104.99*($B7-15%)*184/10000)*2.5%))*75%)/(1+12%)^1+((((156104.99*$B7*365/10000)+396.171+(62629.76*$B7*10*12/10000))-(1955.06445274999+(156104.99*$B7*365/10000)*2.5%))*75%)/(1+12%)^2+((((156104.99*$B7*366/10000)+463.4658+(62629.76*$B7*10*12/10000))-(1967.0676246285+(156104.99*$B7*366/10000)*2.5%))*75%)/(1+12%)^3+(((((156104.99*$B7*365*(1+D4)/10000)+528.228+(62629.76*$B7*10*12/10000))-(1965.79440404631+(156104.99*$B7*365*(1+D4)/10000)*2.5%))*75%)+((((156104.99*$B7*365*(1+D4)/10000)+528.228+(62629.76*$B7*10*12/10000))-(1965.79440404631+(156104.99*$B7*365*(1+D4)/10000)*2.5%))*75%)/8%)/(1+12%)^4)-1100-1000)/(1+3%)</f>
        <v>24994.769611767762</v>
      </c>
      <c r="E7" s="48">
        <f>((((((156104.99*($B7-15%)*184/10000)+248.7375+(62629.76*($B7-15%)*10*9/10000))-(1469.87445375+(156104.99*($B7-15%)*184/10000)*2.5%))*75%)/(1+12%)^1+((((156104.99*$B7*365/10000)+396.171+(62629.76*$B7*10*12/10000))-(1955.06445274999+(156104.99*$B7*365/10000)*2.5%))*75%)/(1+12%)^2+((((156104.99*$B7*366/10000)+463.4658+(62629.76*$B7*10*12/10000))-(1967.0676246285+(156104.99*$B7*366/10000)*2.5%))*75%)/(1+12%)^3+(((((156104.99*$B7*365*(1+E4)/10000)+528.228+(62629.76*$B7*10*12/10000))-(1965.79440404631+(156104.99*$B7*365*(1+E4)/10000)*2.5%))*75%)+((((156104.99*$B7*365*(1+E4)/10000)+528.228+(62629.76*$B7*10*12/10000))-(1965.79440404631+(156104.99*$B7*365*(1+E4)/10000)*2.5%))*75%)/8%)/(1+12%)^4)-1100-1000)/(1+3%)</f>
        <v>25827.704827732618</v>
      </c>
      <c r="F7" s="49">
        <f>((((((156104.99*($B7-15%)*184/10000)+248.7375+(62629.76*($B7-15%)*10*9/10000))-(1469.87445375+(156104.99*($B7-15%)*184/10000)*2.5%))*75%)/(1+12%)^1+((((156104.99*$B7*365/10000)+396.171+(62629.76*$B7*10*12/10000))-(1955.06445274999+(156104.99*$B7*365/10000)*2.5%))*75%)/(1+12%)^2+((((156104.99*$B7*366/10000)+463.4658+(62629.76*$B7*10*12/10000))-(1967.0676246285+(156104.99*$B7*366/10000)*2.5%))*75%)/(1+12%)^3+(((((156104.99*$B7*365*(1+F4)/10000)+528.228+(62629.76*$B7*10*12/10000))-(1965.79440404631+(156104.99*$B7*365*(1+F4)/10000)*2.5%))*75%)+((((156104.99*$B7*365*(1+F4)/10000)+528.228+(62629.76*$B7*10*12/10000))-(1965.79440404631+(156104.99*$B7*365*(1+F4)/10000)*2.5%))*75%)/8%)/(1+12%)^4)-1100-1000)/(1+3%)</f>
        <v>26382.994971709188</v>
      </c>
      <c r="G7" s="50">
        <f>((((((156104.99*($B7-15%)*184/10000)+248.7375+(62629.76*($B7-15%)*10*9/10000))-(1469.87445375+(156104.99*($B7-15%)*184/10000)*2.5%))*75%)/(1+12%)^1+((((156104.99*$B7*365/10000)+396.171+(62629.76*$B7*10*12/10000))-(1955.06445274999+(156104.99*$B7*365/10000)*2.5%))*75%)/(1+12%)^2+((((156104.99*$B7*366/10000)+463.4658+(62629.76*$B7*10*12/10000))-(1967.0676246285+(156104.99*$B7*366/10000)*2.5%))*75%)/(1+12%)^3+(((((156104.99*$B7*365*(1+G4)/10000)+528.228+(62629.76*$B7*10*12/10000))-(1965.79440404631+(156104.99*$B7*365*(1+G4)/10000)*2.5%))*75%)+((((156104.99*$B7*365*(1+G4)/10000)+528.228+(62629.76*$B7*10*12/10000))-(1965.79440404631+(156104.99*$B7*365*(1+G4)/10000)*2.5%))*75%)/8%)/(1+12%)^4)-1100-1000)/(1+3%)</f>
        <v>27215.930187674054</v>
      </c>
    </row>
    <row r="8" spans="2:7" ht="14.65" customHeight="1">
      <c r="B8" s="80">
        <v>0.85</v>
      </c>
      <c r="C8" s="51">
        <f>((((((156104.99*($B8-15%)*184/10000)+248.7375+(62629.76*($B8-15%)*10*9/10000))-(1469.87445375+(156104.99*($B8-15%)*184/10000)*2.5%))*75%)/(1+12%)^1+((((156104.99*$B8*365/10000)+396.171+(62629.76*$B8*10*12/10000))-(1955.06445274999+(156104.99*$B8*365/10000)*2.5%))*75%)/(1+12%)^2+((((156104.99*$B8*366/10000)+463.4658+(62629.76*$B8*10*12/10000))-(1967.0676246285+(156104.99*$B8*366/10000)*2.5%))*75%)/(1+12%)^3+(((((156104.99*$B8*365*(1+C4)/10000)+528.228+(62629.76*$B8*10*12/10000))-(1965.79440404631+(156104.99*$B8*365*(1+C4)/10000)*2.5%))*75%)+((((156104.99*$B8*365*(1+C4)/10000)+528.228+(62629.76*$B8*10*12/10000))-(1965.79440404631+(156104.99*$B8*365*(1+C4)/10000)*2.5%))*75%)/8%)/(1+12%)^4)-1100-1000)/(1+3%)</f>
        <v>26536.061409571139</v>
      </c>
      <c r="D8" s="52">
        <f>((((((156104.99*($B8-15%)*184/10000)+248.7375+(62629.76*($B8-15%)*10*9/10000))-(1469.87445375+(156104.99*($B8-15%)*184/10000)*2.5%))*75%)/(1+12%)^1+((((156104.99*$B8*365/10000)+396.171+(62629.76*$B8*10*12/10000))-(1955.06445274999+(156104.99*$B8*365/10000)*2.5%))*75%)/(1+12%)^2+((((156104.99*$B8*366/10000)+463.4658+(62629.76*$B8*10*12/10000))-(1967.0676246285+(156104.99*$B8*366/10000)*2.5%))*75%)/(1+12%)^3+(((((156104.99*$B8*365*(1+D4)/10000)+528.228+(62629.76*$B8*10*12/10000))-(1965.79440404631+(156104.99*$B8*365*(1+D4)/10000)*2.5%))*75%)+((((156104.99*$B8*365*(1+D4)/10000)+528.228+(62629.76*$B8*10*12/10000))-(1965.79440404631+(156104.99*$B8*365*(1+D4)/10000)*2.5%))*75%)/8%)/(1+12%)^4)-1100-1000)/(1+3%)</f>
        <v>27421.055076533798</v>
      </c>
      <c r="E8" s="53">
        <f>((((((156104.99*($B8-15%)*184/10000)+248.7375+(62629.76*($B8-15%)*10*9/10000))-(1469.87445375+(156104.99*($B8-15%)*184/10000)*2.5%))*75%)/(1+12%)^1+((((156104.99*$B8*365/10000)+396.171+(62629.76*$B8*10*12/10000))-(1955.06445274999+(156104.99*$B8*365/10000)*2.5%))*75%)/(1+12%)^2+((((156104.99*$B8*366/10000)+463.4658+(62629.76*$B8*10*12/10000))-(1967.0676246285+(156104.99*$B8*366/10000)*2.5%))*75%)/(1+12%)^3+(((((156104.99*$B8*365*(1+E4)/10000)+528.228+(62629.76*$B8*10*12/10000))-(1965.79440404631+(156104.99*$B8*365*(1+E4)/10000)*2.5%))*75%)+((((156104.99*$B8*365*(1+E4)/10000)+528.228+(62629.76*$B8*10*12/10000))-(1965.79440404631+(156104.99*$B8*365*(1+E4)/10000)*2.5%))*75%)/8%)/(1+12%)^4)-1100-1000)/(1+3%)</f>
        <v>28306.048743496456</v>
      </c>
      <c r="F8" s="54">
        <f>((((((156104.99*($B8-15%)*184/10000)+248.7375+(62629.76*($B8-15%)*10*9/10000))-(1469.87445375+(156104.99*($B8-15%)*184/10000)*2.5%))*75%)/(1+12%)^1+((((156104.99*$B8*365/10000)+396.171+(62629.76*$B8*10*12/10000))-(1955.06445274999+(156104.99*$B8*365/10000)*2.5%))*75%)/(1+12%)^2+((((156104.99*$B8*366/10000)+463.4658+(62629.76*$B8*10*12/10000))-(1967.0676246285+(156104.99*$B8*366/10000)*2.5%))*75%)/(1+12%)^3+(((((156104.99*$B8*365*(1+F4)/10000)+528.228+(62629.76*$B8*10*12/10000))-(1965.79440404631+(156104.99*$B8*365*(1+F4)/10000)*2.5%))*75%)+((((156104.99*$B8*365*(1+F4)/10000)+528.228+(62629.76*$B8*10*12/10000))-(1965.79440404631+(156104.99*$B8*365*(1+F4)/10000)*2.5%))*75%)/8%)/(1+12%)^4)-1100-1000)/(1+3%)</f>
        <v>28896.044521471569</v>
      </c>
      <c r="G8" s="55">
        <f>((((((156104.99*($B8-15%)*184/10000)+248.7375+(62629.76*($B8-15%)*10*9/10000))-(1469.87445375+(156104.99*($B8-15%)*184/10000)*2.5%))*75%)/(1+12%)^1+((((156104.99*$B8*365/10000)+396.171+(62629.76*$B8*10*12/10000))-(1955.06445274999+(156104.99*$B8*365/10000)*2.5%))*75%)/(1+12%)^2+((((156104.99*$B8*366/10000)+463.4658+(62629.76*$B8*10*12/10000))-(1967.0676246285+(156104.99*$B8*366/10000)*2.5%))*75%)/(1+12%)^3+(((((156104.99*$B8*365*(1+G4)/10000)+528.228+(62629.76*$B8*10*12/10000))-(1965.79440404631+(156104.99*$B8*365*(1+G4)/10000)*2.5%))*75%)+((((156104.99*$B8*365*(1+G4)/10000)+528.228+(62629.76*$B8*10*12/10000))-(1965.79440404631+(156104.99*$B8*365*(1+G4)/10000)*2.5%))*75%)/8%)/(1+12%)^4)-1100-1000)/(1+3%)</f>
        <v>29781.038188434221</v>
      </c>
    </row>
    <row r="9" spans="2:7" ht="14.65" customHeight="1">
      <c r="B9" s="80">
        <v>0.9</v>
      </c>
      <c r="C9" s="56">
        <f>((((((156104.99*($B9-15%)*184/10000)+248.7375+(62629.76*($B9-15%)*10*9/10000))-(1469.87445375+(156104.99*($B9-15%)*184/10000)*2.5%))*75%)/(1+12%)^1+((((156104.99*$B9*365/10000)+396.171+(62629.76*$B9*10*12/10000))-(1955.06445274999+(156104.99*$B9*365/10000)*2.5%))*75%)/(1+12%)^2+((((156104.99*$B9*366/10000)+463.4658+(62629.76*$B9*10*12/10000))-(1967.0676246285+(156104.99*$B9*366/10000)*2.5%))*75%)/(1+12%)^3+(((((156104.99*$B9*365*(1+C4)/10000)+528.228+(62629.76*$B9*10*12/10000))-(1965.79440404631+(156104.99*$B9*365*(1+C4)/10000)*2.5%))*75%)+((((156104.99*$B9*365*(1+C4)/10000)+528.228+(62629.76*$B9*10*12/10000))-(1965.79440404631+(156104.99*$B9*365*(1+C4)/10000)*2.5%))*75%)/8%)/(1+12%)^4)-1100-1000)/(1+3%)</f>
        <v>28910.288423339378</v>
      </c>
      <c r="D9" s="57">
        <f>((((((156104.99*($B9-15%)*184/10000)+248.7375+(62629.76*($B9-15%)*10*9/10000))-(1469.87445375+(156104.99*($B9-15%)*184/10000)*2.5%))*75%)/(1+12%)^1+((((156104.99*$B9*365/10000)+396.171+(62629.76*$B9*10*12/10000))-(1955.06445274999+(156104.99*$B9*365/10000)*2.5%))*75%)/(1+12%)^2+((((156104.99*$B9*366/10000)+463.4658+(62629.76*$B9*10*12/10000))-(1967.0676246285+(156104.99*$B9*366/10000)*2.5%))*75%)/(1+12%)^3+(((((156104.99*$B9*365*(1+D4)/10000)+528.228+(62629.76*$B9*10*12/10000))-(1965.79440404631+(156104.99*$B9*365*(1+D4)/10000)*2.5%))*75%)+((((156104.99*$B9*365*(1+D4)/10000)+528.228+(62629.76*$B9*10*12/10000))-(1965.79440404631+(156104.99*$B9*365*(1+D4)/10000)*2.5%))*75%)/8%)/(1+12%)^4)-1100-1000)/(1+3%)</f>
        <v>29847.340541299844</v>
      </c>
      <c r="E9" s="58">
        <f>((((((156104.99*($B9-15%)*184/10000)+248.7375+(62629.76*($B9-15%)*10*9/10000))-(1469.87445375+(156104.99*($B9-15%)*184/10000)*2.5%))*75%)/(1+12%)^1+((((156104.99*$B9*365/10000)+396.171+(62629.76*$B9*10*12/10000))-(1955.06445274999+(156104.99*$B9*365/10000)*2.5%))*75%)/(1+12%)^2+((((156104.99*$B9*366/10000)+463.4658+(62629.76*$B9*10*12/10000))-(1967.0676246285+(156104.99*$B9*366/10000)*2.5%))*75%)/(1+12%)^3+(((((156104.99*$B9*365*(1+E4)/10000)+528.228+(62629.76*$B9*10*12/10000))-(1965.79440404631+(156104.99*$B9*365*(1+E4)/10000)*2.5%))*75%)+((((156104.99*$B9*365*(1+E4)/10000)+528.228+(62629.76*$B9*10*12/10000))-(1965.79440404631+(156104.99*$B9*365*(1+E4)/10000)*2.5%))*75%)/8%)/(1+12%)^4)-1100-1000)/(1+3%)</f>
        <v>30784.392659260298</v>
      </c>
      <c r="F9" s="59">
        <f>((((((156104.99*($B9-15%)*184/10000)+248.7375+(62629.76*($B9-15%)*10*9/10000))-(1469.87445375+(156104.99*($B9-15%)*184/10000)*2.5%))*75%)/(1+12%)^1+((((156104.99*$B9*365/10000)+396.171+(62629.76*$B9*10*12/10000))-(1955.06445274999+(156104.99*$B9*365/10000)*2.5%))*75%)/(1+12%)^2+((((156104.99*$B9*366/10000)+463.4658+(62629.76*$B9*10*12/10000))-(1967.0676246285+(156104.99*$B9*366/10000)*2.5%))*75%)/(1+12%)^3+(((((156104.99*$B9*365*(1+F4)/10000)+528.228+(62629.76*$B9*10*12/10000))-(1965.79440404631+(156104.99*$B9*365*(1+F4)/10000)*2.5%))*75%)+((((156104.99*$B9*365*(1+F4)/10000)+528.228+(62629.76*$B9*10*12/10000))-(1965.79440404631+(156104.99*$B9*365*(1+F4)/10000)*2.5%))*75%)/8%)/(1+12%)^4)-1100-1000)/(1+3%)</f>
        <v>31409.094071233943</v>
      </c>
      <c r="G9" s="60">
        <f>((((((156104.99*($B9-15%)*184/10000)+248.7375+(62629.76*($B9-15%)*10*9/10000))-(1469.87445375+(156104.99*($B9-15%)*184/10000)*2.5%))*75%)/(1+12%)^1+((((156104.99*$B9*365/10000)+396.171+(62629.76*$B9*10*12/10000))-(1955.06445274999+(156104.99*$B9*365/10000)*2.5%))*75%)/(1+12%)^2+((((156104.99*$B9*366/10000)+463.4658+(62629.76*$B9*10*12/10000))-(1967.0676246285+(156104.99*$B9*366/10000)*2.5%))*75%)/(1+12%)^3+(((((156104.99*$B9*365*(1+G4)/10000)+528.228+(62629.76*$B9*10*12/10000))-(1965.79440404631+(156104.99*$B9*365*(1+G4)/10000)*2.5%))*75%)+((((156104.99*$B9*365*(1+G4)/10000)+528.228+(62629.76*$B9*10*12/10000))-(1965.79440404631+(156104.99*$B9*365*(1+G4)/10000)*2.5%))*75%)/8%)/(1+12%)^4)-1100-1000)/(1+3%)</f>
        <v>32346.146189194405</v>
      </c>
    </row>
    <row r="10" spans="2:7" ht="14.65" customHeight="1">
      <c r="B10" s="80">
        <v>0.95</v>
      </c>
      <c r="C10" s="61">
        <f>((((((156104.99*($B10-15%)*184/10000)+248.7375+(62629.76*($B10-15%)*10*9/10000))-(1469.87445375+(156104.99*($B10-15%)*184/10000)*2.5%))*75%)/(1+12%)^1+((((156104.99*$B10*365/10000)+396.171+(62629.76*$B10*10*12/10000))-(1955.06445274999+(156104.99*$B10*365/10000)*2.5%))*75%)/(1+12%)^2+((((156104.99*$B10*366/10000)+463.4658+(62629.76*$B10*10*12/10000))-(1967.0676246285+(156104.99*$B10*366/10000)*2.5%))*75%)/(1+12%)^3+(((((156104.99*$B10*365*(1+C4)/10000)+528.228+(62629.76*$B10*10*12/10000))-(1965.79440404631+(156104.99*$B10*365*(1+C4)/10000)*2.5%))*75%)+((((156104.99*$B10*365*(1+C4)/10000)+528.228+(62629.76*$B10*10*12/10000))-(1965.79440404631+(156104.99*$B10*365*(1+C4)/10000)*2.5%))*75%)/8%)/(1+12%)^4)-1100-1000)/(1+3%)</f>
        <v>31284.515437107599</v>
      </c>
      <c r="D10" s="62">
        <f>((((((156104.99*($B10-15%)*184/10000)+248.7375+(62629.76*($B10-15%)*10*9/10000))-(1469.87445375+(156104.99*($B10-15%)*184/10000)*2.5%))*75%)/(1+12%)^1+((((156104.99*$B10*365/10000)+396.171+(62629.76*$B10*10*12/10000))-(1955.06445274999+(156104.99*$B10*365/10000)*2.5%))*75%)/(1+12%)^2+((((156104.99*$B10*366/10000)+463.4658+(62629.76*$B10*10*12/10000))-(1967.0676246285+(156104.99*$B10*366/10000)*2.5%))*75%)/(1+12%)^3+(((((156104.99*$B10*365*(1+D4)/10000)+528.228+(62629.76*$B10*10*12/10000))-(1965.79440404631+(156104.99*$B10*365*(1+D4)/10000)*2.5%))*75%)+((((156104.99*$B10*365*(1+D4)/10000)+528.228+(62629.76*$B10*10*12/10000))-(1965.79440404631+(156104.99*$B10*365*(1+D4)/10000)*2.5%))*75%)/8%)/(1+12%)^4)-1100-1000)/(1+3%)</f>
        <v>32273.626006065871</v>
      </c>
      <c r="E10" s="22">
        <f>((((((156104.99*($B10-15%)*184/10000)+248.7375+(62629.76*($B10-15%)*10*9/10000))-(1469.87445375+(156104.99*($B10-15%)*184/10000)*2.5%))*75%)/(1+12%)^1+((((156104.99*$B10*365/10000)+396.171+(62629.76*$B10*10*12/10000))-(1955.06445274999+(156104.99*$B10*365/10000)*2.5%))*75%)/(1+12%)^2+((((156104.99*$B10*366/10000)+463.4658+(62629.76*$B10*10*12/10000))-(1967.0676246285+(156104.99*$B10*366/10000)*2.5%))*75%)/(1+12%)^3+(((((156104.99*$B10*365*(1+E4)/10000)+528.228+(62629.76*$B10*10*12/10000))-(1965.79440404631+(156104.99*$B10*365*(1+E4)/10000)*2.5%))*75%)+((((156104.99*$B10*365*(1+E4)/10000)+528.228+(62629.76*$B10*10*12/10000))-(1965.79440404631+(156104.99*$B10*365*(1+E4)/10000)*2.5%))*75%)/8%)/(1+12%)^4)-1100-1000)/(1+3%)</f>
        <v>33262.736575024137</v>
      </c>
      <c r="F10" s="63">
        <f>((((((156104.99*($B10-15%)*184/10000)+248.7375+(62629.76*($B10-15%)*10*9/10000))-(1469.87445375+(156104.99*($B10-15%)*184/10000)*2.5%))*75%)/(1+12%)^1+((((156104.99*$B10*365/10000)+396.171+(62629.76*$B10*10*12/10000))-(1955.06445274999+(156104.99*$B10*365/10000)*2.5%))*75%)/(1+12%)^2+((((156104.99*$B10*366/10000)+463.4658+(62629.76*$B10*10*12/10000))-(1967.0676246285+(156104.99*$B10*366/10000)*2.5%))*75%)/(1+12%)^3+(((((156104.99*$B10*365*(1+F4)/10000)+528.228+(62629.76*$B10*10*12/10000))-(1965.79440404631+(156104.99*$B10*365*(1+F4)/10000)*2.5%))*75%)+((((156104.99*$B10*365*(1+F4)/10000)+528.228+(62629.76*$B10*10*12/10000))-(1965.79440404631+(156104.99*$B10*365*(1+F4)/10000)*2.5%))*75%)/8%)/(1+12%)^4)-1100-1000)/(1+3%)</f>
        <v>33922.143620996307</v>
      </c>
      <c r="G10" s="64">
        <f>((((((156104.99*($B10-15%)*184/10000)+248.7375+(62629.76*($B10-15%)*10*9/10000))-(1469.87445375+(156104.99*($B10-15%)*184/10000)*2.5%))*75%)/(1+12%)^1+((((156104.99*$B10*365/10000)+396.171+(62629.76*$B10*10*12/10000))-(1955.06445274999+(156104.99*$B10*365/10000)*2.5%))*75%)/(1+12%)^2+((((156104.99*$B10*366/10000)+463.4658+(62629.76*$B10*10*12/10000))-(1967.0676246285+(156104.99*$B10*366/10000)*2.5%))*75%)/(1+12%)^3+(((((156104.99*$B10*365*(1+G4)/10000)+528.228+(62629.76*$B10*10*12/10000))-(1965.79440404631+(156104.99*$B10*365*(1+G4)/10000)*2.5%))*75%)+((((156104.99*$B10*365*(1+G4)/10000)+528.228+(62629.76*$B10*10*12/10000))-(1965.79440404631+(156104.99*$B10*365*(1+G4)/10000)*2.5%))*75%)/8%)/(1+12%)^4)-1100-1000)/(1+3%)</f>
        <v>34911.254189954569</v>
      </c>
    </row>
    <row r="11" spans="2:7">
      <c r="B11" s="3"/>
      <c r="C11" s="3"/>
      <c r="D11" s="3"/>
      <c r="E11" s="3"/>
      <c r="F11" s="3"/>
      <c r="G11" s="3"/>
    </row>
    <row r="12" spans="2:7" ht="15.75" customHeight="1">
      <c r="B12" s="89" t="s">
        <v>173</v>
      </c>
      <c r="C12" s="90"/>
      <c r="D12" s="90"/>
      <c r="E12" s="90"/>
      <c r="F12" s="90"/>
      <c r="G12" s="91"/>
    </row>
    <row r="13" spans="2:7" ht="14.65" customHeight="1">
      <c r="B13" s="4" t="s">
        <v>37</v>
      </c>
      <c r="C13" s="4" t="s">
        <v>174</v>
      </c>
      <c r="D13" s="4" t="s">
        <v>175</v>
      </c>
      <c r="E13" s="3"/>
      <c r="F13" s="3"/>
      <c r="G13" s="3"/>
    </row>
    <row r="14" spans="2:7" ht="13.9" customHeight="1">
      <c r="B14" s="5" t="s">
        <v>176</v>
      </c>
      <c r="C14" s="14">
        <f t="shared" ref="C14:C19" si="0">E5</f>
        <v>20871.01699620494</v>
      </c>
      <c r="D14" s="65">
        <f t="shared" ref="D14:D19" si="1">(C14-$E$10)/$E$10</f>
        <v>-0.37254059210882001</v>
      </c>
      <c r="E14" s="3"/>
      <c r="F14" s="3"/>
      <c r="G14" s="3"/>
    </row>
    <row r="15" spans="2:7" ht="13.9" customHeight="1">
      <c r="B15" s="5" t="s">
        <v>177</v>
      </c>
      <c r="C15" s="14">
        <f t="shared" si="0"/>
        <v>23349.360911968783</v>
      </c>
      <c r="D15" s="65">
        <f t="shared" si="1"/>
        <v>-0.29803247368705593</v>
      </c>
      <c r="E15" s="3"/>
      <c r="F15" s="3"/>
      <c r="G15" s="3"/>
    </row>
    <row r="16" spans="2:7" ht="13.9" customHeight="1">
      <c r="B16" s="5" t="s">
        <v>178</v>
      </c>
      <c r="C16" s="14">
        <f t="shared" si="0"/>
        <v>25827.704827732618</v>
      </c>
      <c r="D16" s="65">
        <f t="shared" si="1"/>
        <v>-0.22352435526529207</v>
      </c>
      <c r="E16" s="3"/>
      <c r="F16" s="3"/>
      <c r="G16" s="3"/>
    </row>
    <row r="17" spans="2:7" ht="13.9" customHeight="1">
      <c r="B17" s="5" t="s">
        <v>179</v>
      </c>
      <c r="C17" s="14">
        <f t="shared" si="0"/>
        <v>28306.048743496456</v>
      </c>
      <c r="D17" s="65">
        <f t="shared" si="1"/>
        <v>-0.14901623684352808</v>
      </c>
      <c r="E17" s="3"/>
      <c r="F17" s="3"/>
      <c r="G17" s="3"/>
    </row>
    <row r="18" spans="2:7" ht="13.9" customHeight="1">
      <c r="B18" s="5" t="s">
        <v>180</v>
      </c>
      <c r="C18" s="14">
        <f t="shared" si="0"/>
        <v>30784.392659260298</v>
      </c>
      <c r="D18" s="65">
        <f t="shared" si="1"/>
        <v>-7.4508118421763983E-2</v>
      </c>
      <c r="E18" s="3"/>
      <c r="F18" s="3"/>
      <c r="G18" s="3"/>
    </row>
    <row r="19" spans="2:7" ht="14.65" customHeight="1">
      <c r="B19" s="5" t="s">
        <v>181</v>
      </c>
      <c r="C19" s="20">
        <f t="shared" si="0"/>
        <v>33262.736575024137</v>
      </c>
      <c r="D19" s="66">
        <f t="shared" si="1"/>
        <v>0</v>
      </c>
      <c r="E19" s="3"/>
      <c r="F19" s="3"/>
      <c r="G19" s="3"/>
    </row>
    <row r="20" spans="2:7">
      <c r="B20" s="3"/>
      <c r="C20" s="3"/>
      <c r="D20" s="3"/>
      <c r="E20" s="3"/>
      <c r="F20" s="3"/>
      <c r="G20" s="3"/>
    </row>
    <row r="21" spans="2:7" ht="15.75" customHeight="1">
      <c r="B21" s="89" t="s">
        <v>182</v>
      </c>
      <c r="C21" s="90"/>
      <c r="D21" s="90"/>
      <c r="E21" s="90"/>
      <c r="F21" s="90"/>
      <c r="G21" s="91"/>
    </row>
    <row r="22" spans="2:7" ht="14.65" customHeight="1">
      <c r="B22" s="4" t="s">
        <v>183</v>
      </c>
      <c r="C22" s="4" t="s">
        <v>174</v>
      </c>
      <c r="D22" s="4" t="s">
        <v>175</v>
      </c>
      <c r="E22" s="3"/>
      <c r="F22" s="3"/>
      <c r="G22" s="3"/>
    </row>
    <row r="23" spans="2:7" ht="13.9" customHeight="1">
      <c r="B23" s="5" t="s">
        <v>184</v>
      </c>
      <c r="C23" s="14">
        <f>C10</f>
        <v>31284.515437107599</v>
      </c>
      <c r="D23" s="65">
        <f>(C23-$E$10)/$E$10</f>
        <v>-5.9472591302121472E-2</v>
      </c>
      <c r="E23" s="3"/>
      <c r="F23" s="3"/>
      <c r="G23" s="3"/>
    </row>
    <row r="24" spans="2:7" ht="13.9" customHeight="1">
      <c r="B24" s="5" t="s">
        <v>185</v>
      </c>
      <c r="C24" s="14">
        <f>D10</f>
        <v>32273.626006065871</v>
      </c>
      <c r="D24" s="65">
        <f>(C24-$E$10)/$E$10</f>
        <v>-2.9736295651060628E-2</v>
      </c>
      <c r="E24" s="3"/>
      <c r="F24" s="3"/>
      <c r="G24" s="3"/>
    </row>
    <row r="25" spans="2:7" ht="14.65" customHeight="1">
      <c r="B25" s="5" t="s">
        <v>66</v>
      </c>
      <c r="C25" s="20">
        <f>E10</f>
        <v>33262.736575024137</v>
      </c>
      <c r="D25" s="66">
        <f>(C25-$E$10)/$E$10</f>
        <v>0</v>
      </c>
      <c r="E25" s="3"/>
      <c r="F25" s="3"/>
      <c r="G25" s="3"/>
    </row>
    <row r="26" spans="2:7" ht="13.9" customHeight="1">
      <c r="B26" s="5" t="s">
        <v>186</v>
      </c>
      <c r="C26" s="14">
        <f>F10</f>
        <v>33922.143620996307</v>
      </c>
      <c r="D26" s="66">
        <f>(C26-$E$10)/$E$10</f>
        <v>1.9824197100706865E-2</v>
      </c>
      <c r="E26" s="3"/>
      <c r="F26" s="3"/>
      <c r="G26" s="3"/>
    </row>
    <row r="27" spans="2:7" ht="13.9" customHeight="1">
      <c r="B27" s="5" t="s">
        <v>75</v>
      </c>
      <c r="C27" s="14">
        <f>G10</f>
        <v>34911.254189954569</v>
      </c>
      <c r="D27" s="66">
        <f>(C27-$E$10)/$E$10</f>
        <v>4.9560492751767382E-2</v>
      </c>
      <c r="E27" s="3"/>
      <c r="F27" s="3"/>
      <c r="G27" s="3"/>
    </row>
    <row r="28" spans="2:7">
      <c r="B28" s="3"/>
      <c r="C28" s="3"/>
      <c r="D28" s="3"/>
      <c r="E28" s="3"/>
      <c r="F28" s="3"/>
      <c r="G28" s="3"/>
    </row>
    <row r="29" spans="2:7">
      <c r="B29" s="3"/>
      <c r="C29" s="3"/>
      <c r="D29" s="3"/>
      <c r="E29" s="3"/>
      <c r="F29" s="3"/>
      <c r="G29" s="3"/>
    </row>
    <row r="30" spans="2:7" ht="14.65" customHeight="1">
      <c r="B30" s="101" t="s">
        <v>187</v>
      </c>
      <c r="C30" s="90"/>
      <c r="D30" s="90"/>
      <c r="E30" s="90"/>
      <c r="F30" s="90"/>
      <c r="G30" s="91"/>
    </row>
    <row r="31" spans="2:7" ht="34.049999999999997" customHeight="1">
      <c r="B31" s="102" t="s">
        <v>188</v>
      </c>
      <c r="C31" s="103"/>
      <c r="D31" s="103"/>
      <c r="E31" s="103"/>
      <c r="F31" s="103"/>
      <c r="G31" s="104"/>
    </row>
    <row r="32" spans="2:7" ht="34.049999999999997" customHeight="1">
      <c r="B32" s="105"/>
      <c r="C32" s="88"/>
      <c r="D32" s="88"/>
      <c r="E32" s="88"/>
      <c r="F32" s="88"/>
      <c r="G32" s="106"/>
    </row>
    <row r="33" spans="2:7" ht="28.05" customHeight="1">
      <c r="B33" s="107"/>
      <c r="C33" s="108"/>
      <c r="D33" s="108"/>
      <c r="E33" s="108"/>
      <c r="F33" s="108"/>
      <c r="G33" s="109"/>
    </row>
  </sheetData>
  <mergeCells count="6">
    <mergeCell ref="B2:G2"/>
    <mergeCell ref="B30:G30"/>
    <mergeCell ref="B1:G1"/>
    <mergeCell ref="B31:G33"/>
    <mergeCell ref="B12:G12"/>
    <mergeCell ref="B21:G21"/>
  </mergeCells>
  <phoneticPr fontId="18" type="noConversion"/>
  <pageMargins left="0.25" right="0.25" top="0.35" bottom="0.35" header="0.15" footer="0.15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33"/>
  <sheetViews>
    <sheetView showGridLines="0" workbookViewId="0">
      <pane ySplit="3" topLeftCell="A4" activePane="bottomLeft" state="frozen"/>
      <selection pane="bottomLeft" sqref="A1:AM1"/>
    </sheetView>
  </sheetViews>
  <sheetFormatPr defaultRowHeight="13.5"/>
  <cols>
    <col min="1" max="1" width="8" customWidth="1"/>
    <col min="2" max="39" width="11" customWidth="1"/>
  </cols>
  <sheetData>
    <row r="1" spans="1:39" ht="28.05" customHeight="1">
      <c r="A1" s="110" t="s">
        <v>189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</row>
    <row r="3" spans="1:39" ht="24" customHeight="1">
      <c r="A3" s="85" t="s">
        <v>190</v>
      </c>
      <c r="B3" s="85" t="s">
        <v>191</v>
      </c>
      <c r="C3" s="85" t="s">
        <v>192</v>
      </c>
      <c r="D3" s="85" t="s">
        <v>193</v>
      </c>
      <c r="E3" s="85" t="s">
        <v>194</v>
      </c>
      <c r="F3" s="85" t="s">
        <v>195</v>
      </c>
      <c r="G3" s="85" t="s">
        <v>196</v>
      </c>
      <c r="H3" s="85" t="s">
        <v>197</v>
      </c>
      <c r="I3" s="85" t="s">
        <v>198</v>
      </c>
      <c r="J3" s="85" t="s">
        <v>199</v>
      </c>
      <c r="K3" s="85" t="s">
        <v>200</v>
      </c>
      <c r="L3" s="85" t="s">
        <v>201</v>
      </c>
      <c r="M3" s="85" t="s">
        <v>202</v>
      </c>
      <c r="N3" s="85" t="s">
        <v>203</v>
      </c>
      <c r="O3" s="85" t="s">
        <v>204</v>
      </c>
      <c r="P3" s="85" t="s">
        <v>205</v>
      </c>
      <c r="Q3" s="85" t="s">
        <v>206</v>
      </c>
      <c r="R3" s="85" t="s">
        <v>207</v>
      </c>
      <c r="S3" s="85" t="s">
        <v>208</v>
      </c>
      <c r="T3" s="85" t="s">
        <v>209</v>
      </c>
      <c r="U3" s="85" t="s">
        <v>210</v>
      </c>
      <c r="V3" s="85" t="s">
        <v>211</v>
      </c>
      <c r="W3" s="85" t="s">
        <v>212</v>
      </c>
      <c r="X3" s="85" t="s">
        <v>213</v>
      </c>
      <c r="Y3" s="85" t="s">
        <v>214</v>
      </c>
      <c r="Z3" s="85" t="s">
        <v>215</v>
      </c>
      <c r="AA3" s="85" t="s">
        <v>216</v>
      </c>
      <c r="AB3" s="85" t="s">
        <v>217</v>
      </c>
      <c r="AC3" s="85" t="s">
        <v>218</v>
      </c>
      <c r="AD3" s="85" t="s">
        <v>219</v>
      </c>
      <c r="AE3" s="85" t="s">
        <v>220</v>
      </c>
      <c r="AF3" s="85" t="s">
        <v>221</v>
      </c>
      <c r="AG3" s="85" t="s">
        <v>222</v>
      </c>
      <c r="AH3" s="85" t="s">
        <v>223</v>
      </c>
      <c r="AI3" s="85" t="s">
        <v>224</v>
      </c>
      <c r="AJ3" s="85" t="s">
        <v>225</v>
      </c>
      <c r="AK3" s="85" t="s">
        <v>226</v>
      </c>
      <c r="AL3" s="85" t="s">
        <v>227</v>
      </c>
      <c r="AM3" s="85" t="s">
        <v>228</v>
      </c>
    </row>
    <row r="4" spans="1:39">
      <c r="A4" s="82" t="s">
        <v>229</v>
      </c>
      <c r="B4" s="83">
        <v>0.7</v>
      </c>
      <c r="C4" s="83">
        <v>-0.03</v>
      </c>
      <c r="D4" s="83">
        <f t="shared" ref="D4:D33" si="0">B4-15%</f>
        <v>0.54999999999999993</v>
      </c>
      <c r="E4" s="84">
        <f t="shared" ref="E4:E33" si="1">156104.99*D4*184*(1+0)/10000</f>
        <v>1579.7824987999998</v>
      </c>
      <c r="F4" s="84">
        <f t="shared" ref="F4:F33" si="2">156104.99*B4*365*(1+0)/10000</f>
        <v>3988.4824944999991</v>
      </c>
      <c r="G4" s="84">
        <f t="shared" ref="G4:G33" si="3">156104.99*B4*366*(1+0)/10000</f>
        <v>3999.4098437999992</v>
      </c>
      <c r="H4" s="84">
        <f t="shared" ref="H4:H33" si="4">156104.99*B4*365*(1+C4)/10000</f>
        <v>3868.8280196649989</v>
      </c>
      <c r="I4" s="84">
        <f t="shared" ref="I4:I33" si="5">1005*3*6*0.5*275/10000</f>
        <v>248.73750000000001</v>
      </c>
      <c r="J4" s="84">
        <f t="shared" ref="J4:J33" si="6">1005*3*6*0.6*365/10000</f>
        <v>396.17099999999999</v>
      </c>
      <c r="K4" s="84">
        <f t="shared" ref="K4:K33" si="7">1005*3*6*0.7*366/10000</f>
        <v>463.4658</v>
      </c>
      <c r="L4" s="84">
        <f t="shared" ref="L4:L33" si="8">1005*3*6*0.8*365/10000</f>
        <v>528.22799999999995</v>
      </c>
      <c r="M4" s="84">
        <f t="shared" ref="M4:M33" si="9">62629.76*D4*10*9/10000</f>
        <v>310.01731199999989</v>
      </c>
      <c r="N4" s="84">
        <f t="shared" ref="N4:N33" si="10">62629.76*B4*10*12/10000</f>
        <v>526.08998399999996</v>
      </c>
      <c r="O4" s="84">
        <f t="shared" ref="O4:O33" si="11">62629.76*B4*10*12/10000</f>
        <v>526.08998399999996</v>
      </c>
      <c r="P4" s="84">
        <f t="shared" ref="P4:P33" si="12">62629.76*B4*10*12/10000</f>
        <v>526.08998399999996</v>
      </c>
      <c r="Q4" s="84">
        <f t="shared" ref="Q4:Q33" si="13">E4+I4+M4</f>
        <v>2138.5373107999994</v>
      </c>
      <c r="R4" s="84">
        <f t="shared" ref="R4:R33" si="14">F4+J4+N4</f>
        <v>4910.7434784999996</v>
      </c>
      <c r="S4" s="84">
        <f t="shared" ref="S4:S33" si="15">G4+K4+O4</f>
        <v>4988.9656277999993</v>
      </c>
      <c r="T4" s="84">
        <f t="shared" ref="T4:T33" si="16">H4+L4+P4</f>
        <v>4923.1460036649987</v>
      </c>
      <c r="U4" s="84">
        <f t="shared" ref="U4:U33" si="17">1469.87445375+E4*2.5%</f>
        <v>1509.3690162199998</v>
      </c>
      <c r="V4" s="84">
        <f t="shared" ref="V4:V33" si="18">1955.06445274999+F4*2.5%</f>
        <v>2054.77651511249</v>
      </c>
      <c r="W4" s="84">
        <f t="shared" ref="W4:W33" si="19">1967.0676246285+G4*2.5%</f>
        <v>2067.0528707234998</v>
      </c>
      <c r="X4" s="84">
        <f t="shared" ref="X4:X33" si="20">1965.79440404631+H4*2.5%</f>
        <v>2062.5151045379353</v>
      </c>
      <c r="Y4" s="84">
        <f t="shared" ref="Y4:Y33" si="21">Q4-U4</f>
        <v>629.16829457999961</v>
      </c>
      <c r="Z4" s="84">
        <f t="shared" ref="Z4:Z33" si="22">R4-V4</f>
        <v>2855.9669633875096</v>
      </c>
      <c r="AA4" s="84">
        <f t="shared" ref="AA4:AA33" si="23">S4-W4</f>
        <v>2921.9127570764995</v>
      </c>
      <c r="AB4" s="84">
        <f t="shared" ref="AB4:AB33" si="24">T4-X4</f>
        <v>2860.6308991270635</v>
      </c>
      <c r="AC4" s="84">
        <f t="shared" ref="AC4:AC33" si="25">Y4*25%</f>
        <v>157.2920736449999</v>
      </c>
      <c r="AD4" s="84">
        <f t="shared" ref="AD4:AD33" si="26">Z4*25%</f>
        <v>713.99174084687741</v>
      </c>
      <c r="AE4" s="84">
        <f t="shared" ref="AE4:AE33" si="27">AA4*25%</f>
        <v>730.47818926912487</v>
      </c>
      <c r="AF4" s="84">
        <f t="shared" ref="AF4:AF33" si="28">AB4*25%</f>
        <v>715.15772478176586</v>
      </c>
      <c r="AG4" s="84">
        <f t="shared" ref="AG4:AG33" si="29">Y4-AC4</f>
        <v>471.87622093499971</v>
      </c>
      <c r="AH4" s="84">
        <f t="shared" ref="AH4:AH33" si="30">Z4-AD4</f>
        <v>2141.9752225406323</v>
      </c>
      <c r="AI4" s="84">
        <f t="shared" ref="AI4:AI33" si="31">AA4-AE4</f>
        <v>2191.4345678073746</v>
      </c>
      <c r="AJ4" s="84">
        <f t="shared" ref="AJ4:AJ33" si="32">AB4-AF4</f>
        <v>2145.4731743452976</v>
      </c>
      <c r="AK4" s="84">
        <f t="shared" ref="AK4:AK33" si="33">AJ4/8%</f>
        <v>26818.414679316218</v>
      </c>
      <c r="AL4" s="84">
        <f t="shared" ref="AL4:AL33" si="34">AG4/(1+12%)^1+AH4/(1+12%)^2+AI4/(1+12%)^3+(AJ4+AK4)/(1+12%)^4</f>
        <v>22095.781779314428</v>
      </c>
      <c r="AM4" s="84">
        <f t="shared" ref="AM4:AM33" si="35">(AL4-1100-1000)/(1+3%)</f>
        <v>19413.380368266433</v>
      </c>
    </row>
    <row r="5" spans="1:39">
      <c r="A5" s="82" t="s">
        <v>230</v>
      </c>
      <c r="B5" s="83">
        <v>0.7</v>
      </c>
      <c r="C5" s="83">
        <v>0</v>
      </c>
      <c r="D5" s="83">
        <f t="shared" si="0"/>
        <v>0.54999999999999993</v>
      </c>
      <c r="E5" s="84">
        <f t="shared" si="1"/>
        <v>1579.7824987999998</v>
      </c>
      <c r="F5" s="84">
        <f t="shared" si="2"/>
        <v>3988.4824944999991</v>
      </c>
      <c r="G5" s="84">
        <f t="shared" si="3"/>
        <v>3999.4098437999992</v>
      </c>
      <c r="H5" s="84">
        <f t="shared" si="4"/>
        <v>3988.4824944999991</v>
      </c>
      <c r="I5" s="84">
        <f t="shared" si="5"/>
        <v>248.73750000000001</v>
      </c>
      <c r="J5" s="84">
        <f t="shared" si="6"/>
        <v>396.17099999999999</v>
      </c>
      <c r="K5" s="84">
        <f t="shared" si="7"/>
        <v>463.4658</v>
      </c>
      <c r="L5" s="84">
        <f t="shared" si="8"/>
        <v>528.22799999999995</v>
      </c>
      <c r="M5" s="84">
        <f t="shared" si="9"/>
        <v>310.01731199999989</v>
      </c>
      <c r="N5" s="84">
        <f t="shared" si="10"/>
        <v>526.08998399999996</v>
      </c>
      <c r="O5" s="84">
        <f t="shared" si="11"/>
        <v>526.08998399999996</v>
      </c>
      <c r="P5" s="84">
        <f t="shared" si="12"/>
        <v>526.08998399999996</v>
      </c>
      <c r="Q5" s="84">
        <f t="shared" si="13"/>
        <v>2138.5373107999994</v>
      </c>
      <c r="R5" s="84">
        <f t="shared" si="14"/>
        <v>4910.7434784999996</v>
      </c>
      <c r="S5" s="84">
        <f t="shared" si="15"/>
        <v>4988.9656277999993</v>
      </c>
      <c r="T5" s="84">
        <f t="shared" si="16"/>
        <v>5042.8004784999994</v>
      </c>
      <c r="U5" s="84">
        <f t="shared" si="17"/>
        <v>1509.3690162199998</v>
      </c>
      <c r="V5" s="84">
        <f t="shared" si="18"/>
        <v>2054.77651511249</v>
      </c>
      <c r="W5" s="84">
        <f t="shared" si="19"/>
        <v>2067.0528707234998</v>
      </c>
      <c r="X5" s="84">
        <f t="shared" si="20"/>
        <v>2065.50646640881</v>
      </c>
      <c r="Y5" s="84">
        <f t="shared" si="21"/>
        <v>629.16829457999961</v>
      </c>
      <c r="Z5" s="84">
        <f t="shared" si="22"/>
        <v>2855.9669633875096</v>
      </c>
      <c r="AA5" s="84">
        <f t="shared" si="23"/>
        <v>2921.9127570764995</v>
      </c>
      <c r="AB5" s="84">
        <f t="shared" si="24"/>
        <v>2977.2940120911894</v>
      </c>
      <c r="AC5" s="84">
        <f t="shared" si="25"/>
        <v>157.2920736449999</v>
      </c>
      <c r="AD5" s="84">
        <f t="shared" si="26"/>
        <v>713.99174084687741</v>
      </c>
      <c r="AE5" s="84">
        <f t="shared" si="27"/>
        <v>730.47818926912487</v>
      </c>
      <c r="AF5" s="84">
        <f t="shared" si="28"/>
        <v>744.32350302279735</v>
      </c>
      <c r="AG5" s="84">
        <f t="shared" si="29"/>
        <v>471.87622093499971</v>
      </c>
      <c r="AH5" s="84">
        <f t="shared" si="30"/>
        <v>2141.9752225406323</v>
      </c>
      <c r="AI5" s="84">
        <f t="shared" si="31"/>
        <v>2191.4345678073746</v>
      </c>
      <c r="AJ5" s="84">
        <f t="shared" si="32"/>
        <v>2232.9705090683919</v>
      </c>
      <c r="AK5" s="84">
        <f t="shared" si="33"/>
        <v>27912.1313633549</v>
      </c>
      <c r="AL5" s="84">
        <f t="shared" si="34"/>
        <v>22846.464642702762</v>
      </c>
      <c r="AM5" s="84">
        <f t="shared" si="35"/>
        <v>20142.198682235692</v>
      </c>
    </row>
    <row r="6" spans="1:39">
      <c r="A6" s="82" t="s">
        <v>231</v>
      </c>
      <c r="B6" s="83">
        <v>0.7</v>
      </c>
      <c r="C6" s="83">
        <v>0.03</v>
      </c>
      <c r="D6" s="83">
        <f t="shared" si="0"/>
        <v>0.54999999999999993</v>
      </c>
      <c r="E6" s="84">
        <f t="shared" si="1"/>
        <v>1579.7824987999998</v>
      </c>
      <c r="F6" s="84">
        <f t="shared" si="2"/>
        <v>3988.4824944999991</v>
      </c>
      <c r="G6" s="84">
        <f t="shared" si="3"/>
        <v>3999.4098437999992</v>
      </c>
      <c r="H6" s="84">
        <f t="shared" si="4"/>
        <v>4108.1369693349998</v>
      </c>
      <c r="I6" s="84">
        <f t="shared" si="5"/>
        <v>248.73750000000001</v>
      </c>
      <c r="J6" s="84">
        <f t="shared" si="6"/>
        <v>396.17099999999999</v>
      </c>
      <c r="K6" s="84">
        <f t="shared" si="7"/>
        <v>463.4658</v>
      </c>
      <c r="L6" s="84">
        <f t="shared" si="8"/>
        <v>528.22799999999995</v>
      </c>
      <c r="M6" s="84">
        <f t="shared" si="9"/>
        <v>310.01731199999989</v>
      </c>
      <c r="N6" s="84">
        <f t="shared" si="10"/>
        <v>526.08998399999996</v>
      </c>
      <c r="O6" s="84">
        <f t="shared" si="11"/>
        <v>526.08998399999996</v>
      </c>
      <c r="P6" s="84">
        <f t="shared" si="12"/>
        <v>526.08998399999996</v>
      </c>
      <c r="Q6" s="84">
        <f t="shared" si="13"/>
        <v>2138.5373107999994</v>
      </c>
      <c r="R6" s="84">
        <f t="shared" si="14"/>
        <v>4910.7434784999996</v>
      </c>
      <c r="S6" s="84">
        <f t="shared" si="15"/>
        <v>4988.9656277999993</v>
      </c>
      <c r="T6" s="84">
        <f t="shared" si="16"/>
        <v>5162.454953335</v>
      </c>
      <c r="U6" s="84">
        <f t="shared" si="17"/>
        <v>1509.3690162199998</v>
      </c>
      <c r="V6" s="84">
        <f t="shared" si="18"/>
        <v>2054.77651511249</v>
      </c>
      <c r="W6" s="84">
        <f t="shared" si="19"/>
        <v>2067.0528707234998</v>
      </c>
      <c r="X6" s="84">
        <f t="shared" si="20"/>
        <v>2068.4978282796851</v>
      </c>
      <c r="Y6" s="84">
        <f t="shared" si="21"/>
        <v>629.16829457999961</v>
      </c>
      <c r="Z6" s="84">
        <f t="shared" si="22"/>
        <v>2855.9669633875096</v>
      </c>
      <c r="AA6" s="84">
        <f t="shared" si="23"/>
        <v>2921.9127570764995</v>
      </c>
      <c r="AB6" s="84">
        <f t="shared" si="24"/>
        <v>3093.9571250553149</v>
      </c>
      <c r="AC6" s="84">
        <f t="shared" si="25"/>
        <v>157.2920736449999</v>
      </c>
      <c r="AD6" s="84">
        <f t="shared" si="26"/>
        <v>713.99174084687741</v>
      </c>
      <c r="AE6" s="84">
        <f t="shared" si="27"/>
        <v>730.47818926912487</v>
      </c>
      <c r="AF6" s="84">
        <f t="shared" si="28"/>
        <v>773.48928126382873</v>
      </c>
      <c r="AG6" s="84">
        <f t="shared" si="29"/>
        <v>471.87622093499971</v>
      </c>
      <c r="AH6" s="84">
        <f t="shared" si="30"/>
        <v>2141.9752225406323</v>
      </c>
      <c r="AI6" s="84">
        <f t="shared" si="31"/>
        <v>2191.4345678073746</v>
      </c>
      <c r="AJ6" s="84">
        <f t="shared" si="32"/>
        <v>2320.4678437914863</v>
      </c>
      <c r="AK6" s="84">
        <f t="shared" si="33"/>
        <v>29005.848047393578</v>
      </c>
      <c r="AL6" s="84">
        <f t="shared" si="34"/>
        <v>23597.147506091089</v>
      </c>
      <c r="AM6" s="84">
        <f t="shared" si="35"/>
        <v>20871.01699620494</v>
      </c>
    </row>
    <row r="7" spans="1:39">
      <c r="A7" s="82" t="s">
        <v>232</v>
      </c>
      <c r="B7" s="83">
        <v>0.7</v>
      </c>
      <c r="C7" s="83">
        <v>0.05</v>
      </c>
      <c r="D7" s="83">
        <f t="shared" si="0"/>
        <v>0.54999999999999993</v>
      </c>
      <c r="E7" s="84">
        <f t="shared" si="1"/>
        <v>1579.7824987999998</v>
      </c>
      <c r="F7" s="84">
        <f t="shared" si="2"/>
        <v>3988.4824944999991</v>
      </c>
      <c r="G7" s="84">
        <f t="shared" si="3"/>
        <v>3999.4098437999992</v>
      </c>
      <c r="H7" s="84">
        <f t="shared" si="4"/>
        <v>4187.9066192249993</v>
      </c>
      <c r="I7" s="84">
        <f t="shared" si="5"/>
        <v>248.73750000000001</v>
      </c>
      <c r="J7" s="84">
        <f t="shared" si="6"/>
        <v>396.17099999999999</v>
      </c>
      <c r="K7" s="84">
        <f t="shared" si="7"/>
        <v>463.4658</v>
      </c>
      <c r="L7" s="84">
        <f t="shared" si="8"/>
        <v>528.22799999999995</v>
      </c>
      <c r="M7" s="84">
        <f t="shared" si="9"/>
        <v>310.01731199999989</v>
      </c>
      <c r="N7" s="84">
        <f t="shared" si="10"/>
        <v>526.08998399999996</v>
      </c>
      <c r="O7" s="84">
        <f t="shared" si="11"/>
        <v>526.08998399999996</v>
      </c>
      <c r="P7" s="84">
        <f t="shared" si="12"/>
        <v>526.08998399999996</v>
      </c>
      <c r="Q7" s="84">
        <f t="shared" si="13"/>
        <v>2138.5373107999994</v>
      </c>
      <c r="R7" s="84">
        <f t="shared" si="14"/>
        <v>4910.7434784999996</v>
      </c>
      <c r="S7" s="84">
        <f t="shared" si="15"/>
        <v>4988.9656277999993</v>
      </c>
      <c r="T7" s="84">
        <f t="shared" si="16"/>
        <v>5242.2246032249996</v>
      </c>
      <c r="U7" s="84">
        <f t="shared" si="17"/>
        <v>1509.3690162199998</v>
      </c>
      <c r="V7" s="84">
        <f t="shared" si="18"/>
        <v>2054.77651511249</v>
      </c>
      <c r="W7" s="84">
        <f t="shared" si="19"/>
        <v>2067.0528707234998</v>
      </c>
      <c r="X7" s="84">
        <f t="shared" si="20"/>
        <v>2070.4920695269352</v>
      </c>
      <c r="Y7" s="84">
        <f t="shared" si="21"/>
        <v>629.16829457999961</v>
      </c>
      <c r="Z7" s="84">
        <f t="shared" si="22"/>
        <v>2855.9669633875096</v>
      </c>
      <c r="AA7" s="84">
        <f t="shared" si="23"/>
        <v>2921.9127570764995</v>
      </c>
      <c r="AB7" s="84">
        <f t="shared" si="24"/>
        <v>3171.7325336980643</v>
      </c>
      <c r="AC7" s="84">
        <f t="shared" si="25"/>
        <v>157.2920736449999</v>
      </c>
      <c r="AD7" s="84">
        <f t="shared" si="26"/>
        <v>713.99174084687741</v>
      </c>
      <c r="AE7" s="84">
        <f t="shared" si="27"/>
        <v>730.47818926912487</v>
      </c>
      <c r="AF7" s="84">
        <f t="shared" si="28"/>
        <v>792.93313342451609</v>
      </c>
      <c r="AG7" s="84">
        <f t="shared" si="29"/>
        <v>471.87622093499971</v>
      </c>
      <c r="AH7" s="84">
        <f t="shared" si="30"/>
        <v>2141.9752225406323</v>
      </c>
      <c r="AI7" s="84">
        <f t="shared" si="31"/>
        <v>2191.4345678073746</v>
      </c>
      <c r="AJ7" s="84">
        <f t="shared" si="32"/>
        <v>2378.7994002735481</v>
      </c>
      <c r="AK7" s="84">
        <f t="shared" si="33"/>
        <v>29734.992503419351</v>
      </c>
      <c r="AL7" s="84">
        <f t="shared" si="34"/>
        <v>24097.602748349971</v>
      </c>
      <c r="AM7" s="84">
        <f t="shared" si="35"/>
        <v>21356.895872184436</v>
      </c>
    </row>
    <row r="8" spans="1:39">
      <c r="A8" s="82" t="s">
        <v>233</v>
      </c>
      <c r="B8" s="83">
        <v>0.7</v>
      </c>
      <c r="C8" s="83">
        <v>0.08</v>
      </c>
      <c r="D8" s="83">
        <f t="shared" si="0"/>
        <v>0.54999999999999993</v>
      </c>
      <c r="E8" s="84">
        <f t="shared" si="1"/>
        <v>1579.7824987999998</v>
      </c>
      <c r="F8" s="84">
        <f t="shared" si="2"/>
        <v>3988.4824944999991</v>
      </c>
      <c r="G8" s="84">
        <f t="shared" si="3"/>
        <v>3999.4098437999992</v>
      </c>
      <c r="H8" s="84">
        <f t="shared" si="4"/>
        <v>4307.561094059999</v>
      </c>
      <c r="I8" s="84">
        <f t="shared" si="5"/>
        <v>248.73750000000001</v>
      </c>
      <c r="J8" s="84">
        <f t="shared" si="6"/>
        <v>396.17099999999999</v>
      </c>
      <c r="K8" s="84">
        <f t="shared" si="7"/>
        <v>463.4658</v>
      </c>
      <c r="L8" s="84">
        <f t="shared" si="8"/>
        <v>528.22799999999995</v>
      </c>
      <c r="M8" s="84">
        <f t="shared" si="9"/>
        <v>310.01731199999989</v>
      </c>
      <c r="N8" s="84">
        <f t="shared" si="10"/>
        <v>526.08998399999996</v>
      </c>
      <c r="O8" s="84">
        <f t="shared" si="11"/>
        <v>526.08998399999996</v>
      </c>
      <c r="P8" s="84">
        <f t="shared" si="12"/>
        <v>526.08998399999996</v>
      </c>
      <c r="Q8" s="84">
        <f t="shared" si="13"/>
        <v>2138.5373107999994</v>
      </c>
      <c r="R8" s="84">
        <f t="shared" si="14"/>
        <v>4910.7434784999996</v>
      </c>
      <c r="S8" s="84">
        <f t="shared" si="15"/>
        <v>4988.9656277999993</v>
      </c>
      <c r="T8" s="84">
        <f t="shared" si="16"/>
        <v>5361.8790780599993</v>
      </c>
      <c r="U8" s="84">
        <f t="shared" si="17"/>
        <v>1509.3690162199998</v>
      </c>
      <c r="V8" s="84">
        <f t="shared" si="18"/>
        <v>2054.77651511249</v>
      </c>
      <c r="W8" s="84">
        <f t="shared" si="19"/>
        <v>2067.0528707234998</v>
      </c>
      <c r="X8" s="84">
        <f t="shared" si="20"/>
        <v>2073.4834313978099</v>
      </c>
      <c r="Y8" s="84">
        <f t="shared" si="21"/>
        <v>629.16829457999961</v>
      </c>
      <c r="Z8" s="84">
        <f t="shared" si="22"/>
        <v>2855.9669633875096</v>
      </c>
      <c r="AA8" s="84">
        <f t="shared" si="23"/>
        <v>2921.9127570764995</v>
      </c>
      <c r="AB8" s="84">
        <f t="shared" si="24"/>
        <v>3288.3956466621894</v>
      </c>
      <c r="AC8" s="84">
        <f t="shared" si="25"/>
        <v>157.2920736449999</v>
      </c>
      <c r="AD8" s="84">
        <f t="shared" si="26"/>
        <v>713.99174084687741</v>
      </c>
      <c r="AE8" s="84">
        <f t="shared" si="27"/>
        <v>730.47818926912487</v>
      </c>
      <c r="AF8" s="84">
        <f t="shared" si="28"/>
        <v>822.09891166554735</v>
      </c>
      <c r="AG8" s="84">
        <f t="shared" si="29"/>
        <v>471.87622093499971</v>
      </c>
      <c r="AH8" s="84">
        <f t="shared" si="30"/>
        <v>2141.9752225406323</v>
      </c>
      <c r="AI8" s="84">
        <f t="shared" si="31"/>
        <v>2191.4345678073746</v>
      </c>
      <c r="AJ8" s="84">
        <f t="shared" si="32"/>
        <v>2466.296734996642</v>
      </c>
      <c r="AK8" s="84">
        <f t="shared" si="33"/>
        <v>30828.709187458026</v>
      </c>
      <c r="AL8" s="84">
        <f t="shared" si="34"/>
        <v>24848.285611738298</v>
      </c>
      <c r="AM8" s="84">
        <f t="shared" si="35"/>
        <v>22085.714186153687</v>
      </c>
    </row>
    <row r="9" spans="1:39">
      <c r="A9" s="82" t="s">
        <v>234</v>
      </c>
      <c r="B9" s="83">
        <v>0.75</v>
      </c>
      <c r="C9" s="83">
        <v>-0.03</v>
      </c>
      <c r="D9" s="83">
        <f t="shared" si="0"/>
        <v>0.6</v>
      </c>
      <c r="E9" s="84">
        <f t="shared" si="1"/>
        <v>1723.3990895999998</v>
      </c>
      <c r="F9" s="84">
        <f t="shared" si="2"/>
        <v>4273.3741012499995</v>
      </c>
      <c r="G9" s="84">
        <f t="shared" si="3"/>
        <v>4285.0819754999993</v>
      </c>
      <c r="H9" s="84">
        <f t="shared" si="4"/>
        <v>4145.1728782124992</v>
      </c>
      <c r="I9" s="84">
        <f t="shared" si="5"/>
        <v>248.73750000000001</v>
      </c>
      <c r="J9" s="84">
        <f t="shared" si="6"/>
        <v>396.17099999999999</v>
      </c>
      <c r="K9" s="84">
        <f t="shared" si="7"/>
        <v>463.4658</v>
      </c>
      <c r="L9" s="84">
        <f t="shared" si="8"/>
        <v>528.22799999999995</v>
      </c>
      <c r="M9" s="84">
        <f t="shared" si="9"/>
        <v>338.20070400000003</v>
      </c>
      <c r="N9" s="84">
        <f t="shared" si="10"/>
        <v>563.66784000000007</v>
      </c>
      <c r="O9" s="84">
        <f t="shared" si="11"/>
        <v>563.66784000000007</v>
      </c>
      <c r="P9" s="84">
        <f t="shared" si="12"/>
        <v>563.66784000000007</v>
      </c>
      <c r="Q9" s="84">
        <f t="shared" si="13"/>
        <v>2310.3372935999996</v>
      </c>
      <c r="R9" s="84">
        <f t="shared" si="14"/>
        <v>5233.2129412499999</v>
      </c>
      <c r="S9" s="84">
        <f t="shared" si="15"/>
        <v>5312.2156154999993</v>
      </c>
      <c r="T9" s="84">
        <f t="shared" si="16"/>
        <v>5237.0687182124993</v>
      </c>
      <c r="U9" s="84">
        <f t="shared" si="17"/>
        <v>1512.9594309899999</v>
      </c>
      <c r="V9" s="84">
        <f t="shared" si="18"/>
        <v>2061.8988052812401</v>
      </c>
      <c r="W9" s="84">
        <f t="shared" si="19"/>
        <v>2074.1946740160001</v>
      </c>
      <c r="X9" s="84">
        <f t="shared" si="20"/>
        <v>2069.4237260016225</v>
      </c>
      <c r="Y9" s="84">
        <f t="shared" si="21"/>
        <v>797.37786260999974</v>
      </c>
      <c r="Z9" s="84">
        <f t="shared" si="22"/>
        <v>3171.3141359687597</v>
      </c>
      <c r="AA9" s="84">
        <f t="shared" si="23"/>
        <v>3238.0209414839992</v>
      </c>
      <c r="AB9" s="84">
        <f t="shared" si="24"/>
        <v>3167.6449922108768</v>
      </c>
      <c r="AC9" s="84">
        <f t="shared" si="25"/>
        <v>199.34446565249993</v>
      </c>
      <c r="AD9" s="84">
        <f t="shared" si="26"/>
        <v>792.82853399218993</v>
      </c>
      <c r="AE9" s="84">
        <f t="shared" si="27"/>
        <v>809.5052353709998</v>
      </c>
      <c r="AF9" s="84">
        <f t="shared" si="28"/>
        <v>791.9112480527192</v>
      </c>
      <c r="AG9" s="84">
        <f t="shared" si="29"/>
        <v>598.0333969574998</v>
      </c>
      <c r="AH9" s="84">
        <f t="shared" si="30"/>
        <v>2378.4856019765698</v>
      </c>
      <c r="AI9" s="84">
        <f t="shared" si="31"/>
        <v>2428.5157061129994</v>
      </c>
      <c r="AJ9" s="84">
        <f t="shared" si="32"/>
        <v>2375.7337441581576</v>
      </c>
      <c r="AK9" s="84">
        <f t="shared" si="33"/>
        <v>29696.671801976969</v>
      </c>
      <c r="AL9" s="84">
        <f t="shared" si="34"/>
        <v>24541.235603495716</v>
      </c>
      <c r="AM9" s="84">
        <f t="shared" si="35"/>
        <v>21787.607382034676</v>
      </c>
    </row>
    <row r="10" spans="1:39">
      <c r="A10" s="82" t="s">
        <v>235</v>
      </c>
      <c r="B10" s="83">
        <v>0.75</v>
      </c>
      <c r="C10" s="83">
        <v>0</v>
      </c>
      <c r="D10" s="83">
        <f t="shared" si="0"/>
        <v>0.6</v>
      </c>
      <c r="E10" s="84">
        <f t="shared" si="1"/>
        <v>1723.3990895999998</v>
      </c>
      <c r="F10" s="84">
        <f t="shared" si="2"/>
        <v>4273.3741012499995</v>
      </c>
      <c r="G10" s="84">
        <f t="shared" si="3"/>
        <v>4285.0819754999993</v>
      </c>
      <c r="H10" s="84">
        <f t="shared" si="4"/>
        <v>4273.3741012499995</v>
      </c>
      <c r="I10" s="84">
        <f t="shared" si="5"/>
        <v>248.73750000000001</v>
      </c>
      <c r="J10" s="84">
        <f t="shared" si="6"/>
        <v>396.17099999999999</v>
      </c>
      <c r="K10" s="84">
        <f t="shared" si="7"/>
        <v>463.4658</v>
      </c>
      <c r="L10" s="84">
        <f t="shared" si="8"/>
        <v>528.22799999999995</v>
      </c>
      <c r="M10" s="84">
        <f t="shared" si="9"/>
        <v>338.20070400000003</v>
      </c>
      <c r="N10" s="84">
        <f t="shared" si="10"/>
        <v>563.66784000000007</v>
      </c>
      <c r="O10" s="84">
        <f t="shared" si="11"/>
        <v>563.66784000000007</v>
      </c>
      <c r="P10" s="84">
        <f t="shared" si="12"/>
        <v>563.66784000000007</v>
      </c>
      <c r="Q10" s="84">
        <f t="shared" si="13"/>
        <v>2310.3372935999996</v>
      </c>
      <c r="R10" s="84">
        <f t="shared" si="14"/>
        <v>5233.2129412499999</v>
      </c>
      <c r="S10" s="84">
        <f t="shared" si="15"/>
        <v>5312.2156154999993</v>
      </c>
      <c r="T10" s="84">
        <f t="shared" si="16"/>
        <v>5365.2699412499996</v>
      </c>
      <c r="U10" s="84">
        <f t="shared" si="17"/>
        <v>1512.9594309899999</v>
      </c>
      <c r="V10" s="84">
        <f t="shared" si="18"/>
        <v>2061.8988052812401</v>
      </c>
      <c r="W10" s="84">
        <f t="shared" si="19"/>
        <v>2074.1946740160001</v>
      </c>
      <c r="X10" s="84">
        <f t="shared" si="20"/>
        <v>2072.6287565775601</v>
      </c>
      <c r="Y10" s="84">
        <f t="shared" si="21"/>
        <v>797.37786260999974</v>
      </c>
      <c r="Z10" s="84">
        <f t="shared" si="22"/>
        <v>3171.3141359687597</v>
      </c>
      <c r="AA10" s="84">
        <f t="shared" si="23"/>
        <v>3238.0209414839992</v>
      </c>
      <c r="AB10" s="84">
        <f t="shared" si="24"/>
        <v>3292.6411846724395</v>
      </c>
      <c r="AC10" s="84">
        <f t="shared" si="25"/>
        <v>199.34446565249993</v>
      </c>
      <c r="AD10" s="84">
        <f t="shared" si="26"/>
        <v>792.82853399218993</v>
      </c>
      <c r="AE10" s="84">
        <f t="shared" si="27"/>
        <v>809.5052353709998</v>
      </c>
      <c r="AF10" s="84">
        <f t="shared" si="28"/>
        <v>823.16029616810988</v>
      </c>
      <c r="AG10" s="84">
        <f t="shared" si="29"/>
        <v>598.0333969574998</v>
      </c>
      <c r="AH10" s="84">
        <f t="shared" si="30"/>
        <v>2378.4856019765698</v>
      </c>
      <c r="AI10" s="84">
        <f t="shared" si="31"/>
        <v>2428.5157061129994</v>
      </c>
      <c r="AJ10" s="84">
        <f t="shared" si="32"/>
        <v>2469.4808885043294</v>
      </c>
      <c r="AK10" s="84">
        <f t="shared" si="33"/>
        <v>30868.511106304119</v>
      </c>
      <c r="AL10" s="84">
        <f t="shared" si="34"/>
        <v>25345.538671411781</v>
      </c>
      <c r="AM10" s="84">
        <f t="shared" si="35"/>
        <v>22568.484147001727</v>
      </c>
    </row>
    <row r="11" spans="1:39">
      <c r="A11" s="82" t="s">
        <v>236</v>
      </c>
      <c r="B11" s="83">
        <v>0.75</v>
      </c>
      <c r="C11" s="83">
        <v>0.03</v>
      </c>
      <c r="D11" s="83">
        <f t="shared" si="0"/>
        <v>0.6</v>
      </c>
      <c r="E11" s="84">
        <f t="shared" si="1"/>
        <v>1723.3990895999998</v>
      </c>
      <c r="F11" s="84">
        <f t="shared" si="2"/>
        <v>4273.3741012499995</v>
      </c>
      <c r="G11" s="84">
        <f t="shared" si="3"/>
        <v>4285.0819754999993</v>
      </c>
      <c r="H11" s="84">
        <f t="shared" si="4"/>
        <v>4401.5753242874998</v>
      </c>
      <c r="I11" s="84">
        <f t="shared" si="5"/>
        <v>248.73750000000001</v>
      </c>
      <c r="J11" s="84">
        <f t="shared" si="6"/>
        <v>396.17099999999999</v>
      </c>
      <c r="K11" s="84">
        <f t="shared" si="7"/>
        <v>463.4658</v>
      </c>
      <c r="L11" s="84">
        <f t="shared" si="8"/>
        <v>528.22799999999995</v>
      </c>
      <c r="M11" s="84">
        <f t="shared" si="9"/>
        <v>338.20070400000003</v>
      </c>
      <c r="N11" s="84">
        <f t="shared" si="10"/>
        <v>563.66784000000007</v>
      </c>
      <c r="O11" s="84">
        <f t="shared" si="11"/>
        <v>563.66784000000007</v>
      </c>
      <c r="P11" s="84">
        <f t="shared" si="12"/>
        <v>563.66784000000007</v>
      </c>
      <c r="Q11" s="84">
        <f t="shared" si="13"/>
        <v>2310.3372935999996</v>
      </c>
      <c r="R11" s="84">
        <f t="shared" si="14"/>
        <v>5233.2129412499999</v>
      </c>
      <c r="S11" s="84">
        <f t="shared" si="15"/>
        <v>5312.2156154999993</v>
      </c>
      <c r="T11" s="84">
        <f t="shared" si="16"/>
        <v>5493.4711642875</v>
      </c>
      <c r="U11" s="84">
        <f t="shared" si="17"/>
        <v>1512.9594309899999</v>
      </c>
      <c r="V11" s="84">
        <f t="shared" si="18"/>
        <v>2061.8988052812401</v>
      </c>
      <c r="W11" s="84">
        <f t="shared" si="19"/>
        <v>2074.1946740160001</v>
      </c>
      <c r="X11" s="84">
        <f t="shared" si="20"/>
        <v>2075.8337871534977</v>
      </c>
      <c r="Y11" s="84">
        <f t="shared" si="21"/>
        <v>797.37786260999974</v>
      </c>
      <c r="Z11" s="84">
        <f t="shared" si="22"/>
        <v>3171.3141359687597</v>
      </c>
      <c r="AA11" s="84">
        <f t="shared" si="23"/>
        <v>3238.0209414839992</v>
      </c>
      <c r="AB11" s="84">
        <f t="shared" si="24"/>
        <v>3417.6373771340022</v>
      </c>
      <c r="AC11" s="84">
        <f t="shared" si="25"/>
        <v>199.34446565249993</v>
      </c>
      <c r="AD11" s="84">
        <f t="shared" si="26"/>
        <v>792.82853399218993</v>
      </c>
      <c r="AE11" s="84">
        <f t="shared" si="27"/>
        <v>809.5052353709998</v>
      </c>
      <c r="AF11" s="84">
        <f t="shared" si="28"/>
        <v>854.40934428350056</v>
      </c>
      <c r="AG11" s="84">
        <f t="shared" si="29"/>
        <v>598.0333969574998</v>
      </c>
      <c r="AH11" s="84">
        <f t="shared" si="30"/>
        <v>2378.4856019765698</v>
      </c>
      <c r="AI11" s="84">
        <f t="shared" si="31"/>
        <v>2428.5157061129994</v>
      </c>
      <c r="AJ11" s="84">
        <f t="shared" si="32"/>
        <v>2563.2280328505017</v>
      </c>
      <c r="AK11" s="84">
        <f t="shared" si="33"/>
        <v>32040.350410631272</v>
      </c>
      <c r="AL11" s="84">
        <f t="shared" si="34"/>
        <v>26149.841739327847</v>
      </c>
      <c r="AM11" s="84">
        <f t="shared" si="35"/>
        <v>23349.360911968783</v>
      </c>
    </row>
    <row r="12" spans="1:39">
      <c r="A12" s="82" t="s">
        <v>237</v>
      </c>
      <c r="B12" s="83">
        <v>0.75</v>
      </c>
      <c r="C12" s="83">
        <v>0.05</v>
      </c>
      <c r="D12" s="83">
        <f t="shared" si="0"/>
        <v>0.6</v>
      </c>
      <c r="E12" s="84">
        <f t="shared" si="1"/>
        <v>1723.3990895999998</v>
      </c>
      <c r="F12" s="84">
        <f t="shared" si="2"/>
        <v>4273.3741012499995</v>
      </c>
      <c r="G12" s="84">
        <f t="shared" si="3"/>
        <v>4285.0819754999993</v>
      </c>
      <c r="H12" s="84">
        <f t="shared" si="4"/>
        <v>4487.0428063125</v>
      </c>
      <c r="I12" s="84">
        <f t="shared" si="5"/>
        <v>248.73750000000001</v>
      </c>
      <c r="J12" s="84">
        <f t="shared" si="6"/>
        <v>396.17099999999999</v>
      </c>
      <c r="K12" s="84">
        <f t="shared" si="7"/>
        <v>463.4658</v>
      </c>
      <c r="L12" s="84">
        <f t="shared" si="8"/>
        <v>528.22799999999995</v>
      </c>
      <c r="M12" s="84">
        <f t="shared" si="9"/>
        <v>338.20070400000003</v>
      </c>
      <c r="N12" s="84">
        <f t="shared" si="10"/>
        <v>563.66784000000007</v>
      </c>
      <c r="O12" s="84">
        <f t="shared" si="11"/>
        <v>563.66784000000007</v>
      </c>
      <c r="P12" s="84">
        <f t="shared" si="12"/>
        <v>563.66784000000007</v>
      </c>
      <c r="Q12" s="84">
        <f t="shared" si="13"/>
        <v>2310.3372935999996</v>
      </c>
      <c r="R12" s="84">
        <f t="shared" si="14"/>
        <v>5233.2129412499999</v>
      </c>
      <c r="S12" s="84">
        <f t="shared" si="15"/>
        <v>5312.2156154999993</v>
      </c>
      <c r="T12" s="84">
        <f t="shared" si="16"/>
        <v>5578.9386463125002</v>
      </c>
      <c r="U12" s="84">
        <f t="shared" si="17"/>
        <v>1512.9594309899999</v>
      </c>
      <c r="V12" s="84">
        <f t="shared" si="18"/>
        <v>2061.8988052812401</v>
      </c>
      <c r="W12" s="84">
        <f t="shared" si="19"/>
        <v>2074.1946740160001</v>
      </c>
      <c r="X12" s="84">
        <f t="shared" si="20"/>
        <v>2077.9704742041226</v>
      </c>
      <c r="Y12" s="84">
        <f t="shared" si="21"/>
        <v>797.37786260999974</v>
      </c>
      <c r="Z12" s="84">
        <f t="shared" si="22"/>
        <v>3171.3141359687597</v>
      </c>
      <c r="AA12" s="84">
        <f t="shared" si="23"/>
        <v>3238.0209414839992</v>
      </c>
      <c r="AB12" s="84">
        <f t="shared" si="24"/>
        <v>3500.9681721083775</v>
      </c>
      <c r="AC12" s="84">
        <f t="shared" si="25"/>
        <v>199.34446565249993</v>
      </c>
      <c r="AD12" s="84">
        <f t="shared" si="26"/>
        <v>792.82853399218993</v>
      </c>
      <c r="AE12" s="84">
        <f t="shared" si="27"/>
        <v>809.5052353709998</v>
      </c>
      <c r="AF12" s="84">
        <f t="shared" si="28"/>
        <v>875.24204302709438</v>
      </c>
      <c r="AG12" s="84">
        <f t="shared" si="29"/>
        <v>598.0333969574998</v>
      </c>
      <c r="AH12" s="84">
        <f t="shared" si="30"/>
        <v>2378.4856019765698</v>
      </c>
      <c r="AI12" s="84">
        <f t="shared" si="31"/>
        <v>2428.5157061129994</v>
      </c>
      <c r="AJ12" s="84">
        <f t="shared" si="32"/>
        <v>2625.726129081283</v>
      </c>
      <c r="AK12" s="84">
        <f t="shared" si="33"/>
        <v>32821.576613516037</v>
      </c>
      <c r="AL12" s="84">
        <f t="shared" si="34"/>
        <v>26686.043784605219</v>
      </c>
      <c r="AM12" s="84">
        <f t="shared" si="35"/>
        <v>23869.945421946813</v>
      </c>
    </row>
    <row r="13" spans="1:39">
      <c r="A13" s="82" t="s">
        <v>238</v>
      </c>
      <c r="B13" s="83">
        <v>0.75</v>
      </c>
      <c r="C13" s="83">
        <v>0.08</v>
      </c>
      <c r="D13" s="83">
        <f t="shared" si="0"/>
        <v>0.6</v>
      </c>
      <c r="E13" s="84">
        <f t="shared" si="1"/>
        <v>1723.3990895999998</v>
      </c>
      <c r="F13" s="84">
        <f t="shared" si="2"/>
        <v>4273.3741012499995</v>
      </c>
      <c r="G13" s="84">
        <f t="shared" si="3"/>
        <v>4285.0819754999993</v>
      </c>
      <c r="H13" s="84">
        <f t="shared" si="4"/>
        <v>4615.2440293499994</v>
      </c>
      <c r="I13" s="84">
        <f t="shared" si="5"/>
        <v>248.73750000000001</v>
      </c>
      <c r="J13" s="84">
        <f t="shared" si="6"/>
        <v>396.17099999999999</v>
      </c>
      <c r="K13" s="84">
        <f t="shared" si="7"/>
        <v>463.4658</v>
      </c>
      <c r="L13" s="84">
        <f t="shared" si="8"/>
        <v>528.22799999999995</v>
      </c>
      <c r="M13" s="84">
        <f t="shared" si="9"/>
        <v>338.20070400000003</v>
      </c>
      <c r="N13" s="84">
        <f t="shared" si="10"/>
        <v>563.66784000000007</v>
      </c>
      <c r="O13" s="84">
        <f t="shared" si="11"/>
        <v>563.66784000000007</v>
      </c>
      <c r="P13" s="84">
        <f t="shared" si="12"/>
        <v>563.66784000000007</v>
      </c>
      <c r="Q13" s="84">
        <f t="shared" si="13"/>
        <v>2310.3372935999996</v>
      </c>
      <c r="R13" s="84">
        <f t="shared" si="14"/>
        <v>5233.2129412499999</v>
      </c>
      <c r="S13" s="84">
        <f t="shared" si="15"/>
        <v>5312.2156154999993</v>
      </c>
      <c r="T13" s="84">
        <f t="shared" si="16"/>
        <v>5707.1398693499996</v>
      </c>
      <c r="U13" s="84">
        <f t="shared" si="17"/>
        <v>1512.9594309899999</v>
      </c>
      <c r="V13" s="84">
        <f t="shared" si="18"/>
        <v>2061.8988052812401</v>
      </c>
      <c r="W13" s="84">
        <f t="shared" si="19"/>
        <v>2074.1946740160001</v>
      </c>
      <c r="X13" s="84">
        <f t="shared" si="20"/>
        <v>2081.1755047800602</v>
      </c>
      <c r="Y13" s="84">
        <f t="shared" si="21"/>
        <v>797.37786260999974</v>
      </c>
      <c r="Z13" s="84">
        <f t="shared" si="22"/>
        <v>3171.3141359687597</v>
      </c>
      <c r="AA13" s="84">
        <f t="shared" si="23"/>
        <v>3238.0209414839992</v>
      </c>
      <c r="AB13" s="84">
        <f t="shared" si="24"/>
        <v>3625.9643645699393</v>
      </c>
      <c r="AC13" s="84">
        <f t="shared" si="25"/>
        <v>199.34446565249993</v>
      </c>
      <c r="AD13" s="84">
        <f t="shared" si="26"/>
        <v>792.82853399218993</v>
      </c>
      <c r="AE13" s="84">
        <f t="shared" si="27"/>
        <v>809.5052353709998</v>
      </c>
      <c r="AF13" s="84">
        <f t="shared" si="28"/>
        <v>906.49109114248483</v>
      </c>
      <c r="AG13" s="84">
        <f t="shared" si="29"/>
        <v>598.0333969574998</v>
      </c>
      <c r="AH13" s="84">
        <f t="shared" si="30"/>
        <v>2378.4856019765698</v>
      </c>
      <c r="AI13" s="84">
        <f t="shared" si="31"/>
        <v>2428.5157061129994</v>
      </c>
      <c r="AJ13" s="84">
        <f t="shared" si="32"/>
        <v>2719.4732734274544</v>
      </c>
      <c r="AK13" s="84">
        <f t="shared" si="33"/>
        <v>33993.41591784318</v>
      </c>
      <c r="AL13" s="84">
        <f t="shared" si="34"/>
        <v>27490.346852521277</v>
      </c>
      <c r="AM13" s="84">
        <f t="shared" si="35"/>
        <v>24650.822186913862</v>
      </c>
    </row>
    <row r="14" spans="1:39">
      <c r="A14" s="82" t="s">
        <v>239</v>
      </c>
      <c r="B14" s="83">
        <v>0.8</v>
      </c>
      <c r="C14" s="83">
        <v>-0.03</v>
      </c>
      <c r="D14" s="83">
        <f t="shared" si="0"/>
        <v>0.65</v>
      </c>
      <c r="E14" s="84">
        <f t="shared" si="1"/>
        <v>1867.0156803999998</v>
      </c>
      <c r="F14" s="84">
        <f t="shared" si="2"/>
        <v>4558.2657079999999</v>
      </c>
      <c r="G14" s="84">
        <f t="shared" si="3"/>
        <v>4570.7541071999995</v>
      </c>
      <c r="H14" s="84">
        <f t="shared" si="4"/>
        <v>4421.517736759999</v>
      </c>
      <c r="I14" s="84">
        <f t="shared" si="5"/>
        <v>248.73750000000001</v>
      </c>
      <c r="J14" s="84">
        <f t="shared" si="6"/>
        <v>396.17099999999999</v>
      </c>
      <c r="K14" s="84">
        <f t="shared" si="7"/>
        <v>463.4658</v>
      </c>
      <c r="L14" s="84">
        <f t="shared" si="8"/>
        <v>528.22799999999995</v>
      </c>
      <c r="M14" s="84">
        <f t="shared" si="9"/>
        <v>366.38409600000006</v>
      </c>
      <c r="N14" s="84">
        <f t="shared" si="10"/>
        <v>601.24569600000007</v>
      </c>
      <c r="O14" s="84">
        <f t="shared" si="11"/>
        <v>601.24569600000007</v>
      </c>
      <c r="P14" s="84">
        <f t="shared" si="12"/>
        <v>601.24569600000007</v>
      </c>
      <c r="Q14" s="84">
        <f t="shared" si="13"/>
        <v>2482.1372764000002</v>
      </c>
      <c r="R14" s="84">
        <f t="shared" si="14"/>
        <v>5555.6824040000001</v>
      </c>
      <c r="S14" s="84">
        <f t="shared" si="15"/>
        <v>5635.4656031999994</v>
      </c>
      <c r="T14" s="84">
        <f t="shared" si="16"/>
        <v>5550.991432759999</v>
      </c>
      <c r="U14" s="84">
        <f t="shared" si="17"/>
        <v>1516.5498457599999</v>
      </c>
      <c r="V14" s="84">
        <f t="shared" si="18"/>
        <v>2069.0210954499903</v>
      </c>
      <c r="W14" s="84">
        <f t="shared" si="19"/>
        <v>2081.3364773085</v>
      </c>
      <c r="X14" s="84">
        <f t="shared" si="20"/>
        <v>2076.3323474653102</v>
      </c>
      <c r="Y14" s="84">
        <f t="shared" si="21"/>
        <v>965.58743064000032</v>
      </c>
      <c r="Z14" s="84">
        <f t="shared" si="22"/>
        <v>3486.6613085500098</v>
      </c>
      <c r="AA14" s="84">
        <f t="shared" si="23"/>
        <v>3554.1291258914994</v>
      </c>
      <c r="AB14" s="84">
        <f t="shared" si="24"/>
        <v>3474.6590852946888</v>
      </c>
      <c r="AC14" s="84">
        <f t="shared" si="25"/>
        <v>241.39685766000008</v>
      </c>
      <c r="AD14" s="84">
        <f t="shared" si="26"/>
        <v>871.66532713750246</v>
      </c>
      <c r="AE14" s="84">
        <f t="shared" si="27"/>
        <v>888.53228147287484</v>
      </c>
      <c r="AF14" s="84">
        <f t="shared" si="28"/>
        <v>868.6647713236722</v>
      </c>
      <c r="AG14" s="84">
        <f t="shared" si="29"/>
        <v>724.1905729800003</v>
      </c>
      <c r="AH14" s="84">
        <f t="shared" si="30"/>
        <v>2614.9959814125073</v>
      </c>
      <c r="AI14" s="84">
        <f t="shared" si="31"/>
        <v>2665.5968444186246</v>
      </c>
      <c r="AJ14" s="84">
        <f t="shared" si="32"/>
        <v>2605.9943139710167</v>
      </c>
      <c r="AK14" s="84">
        <f t="shared" si="33"/>
        <v>32574.928924637708</v>
      </c>
      <c r="AL14" s="84">
        <f t="shared" si="34"/>
        <v>26986.689427676993</v>
      </c>
      <c r="AM14" s="84">
        <f t="shared" si="35"/>
        <v>24161.834395802904</v>
      </c>
    </row>
    <row r="15" spans="1:39">
      <c r="A15" s="82" t="s">
        <v>240</v>
      </c>
      <c r="B15" s="83">
        <v>0.8</v>
      </c>
      <c r="C15" s="83">
        <v>0</v>
      </c>
      <c r="D15" s="83">
        <f t="shared" si="0"/>
        <v>0.65</v>
      </c>
      <c r="E15" s="84">
        <f t="shared" si="1"/>
        <v>1867.0156803999998</v>
      </c>
      <c r="F15" s="84">
        <f t="shared" si="2"/>
        <v>4558.2657079999999</v>
      </c>
      <c r="G15" s="84">
        <f t="shared" si="3"/>
        <v>4570.7541071999995</v>
      </c>
      <c r="H15" s="84">
        <f t="shared" si="4"/>
        <v>4558.2657079999999</v>
      </c>
      <c r="I15" s="84">
        <f t="shared" si="5"/>
        <v>248.73750000000001</v>
      </c>
      <c r="J15" s="84">
        <f t="shared" si="6"/>
        <v>396.17099999999999</v>
      </c>
      <c r="K15" s="84">
        <f t="shared" si="7"/>
        <v>463.4658</v>
      </c>
      <c r="L15" s="84">
        <f t="shared" si="8"/>
        <v>528.22799999999995</v>
      </c>
      <c r="M15" s="84">
        <f t="shared" si="9"/>
        <v>366.38409600000006</v>
      </c>
      <c r="N15" s="84">
        <f t="shared" si="10"/>
        <v>601.24569600000007</v>
      </c>
      <c r="O15" s="84">
        <f t="shared" si="11"/>
        <v>601.24569600000007</v>
      </c>
      <c r="P15" s="84">
        <f t="shared" si="12"/>
        <v>601.24569600000007</v>
      </c>
      <c r="Q15" s="84">
        <f t="shared" si="13"/>
        <v>2482.1372764000002</v>
      </c>
      <c r="R15" s="84">
        <f t="shared" si="14"/>
        <v>5555.6824040000001</v>
      </c>
      <c r="S15" s="84">
        <f t="shared" si="15"/>
        <v>5635.4656031999994</v>
      </c>
      <c r="T15" s="84">
        <f t="shared" si="16"/>
        <v>5687.7394039999999</v>
      </c>
      <c r="U15" s="84">
        <f t="shared" si="17"/>
        <v>1516.5498457599999</v>
      </c>
      <c r="V15" s="84">
        <f t="shared" si="18"/>
        <v>2069.0210954499903</v>
      </c>
      <c r="W15" s="84">
        <f t="shared" si="19"/>
        <v>2081.3364773085</v>
      </c>
      <c r="X15" s="84">
        <f t="shared" si="20"/>
        <v>2079.7510467463103</v>
      </c>
      <c r="Y15" s="84">
        <f t="shared" si="21"/>
        <v>965.58743064000032</v>
      </c>
      <c r="Z15" s="84">
        <f t="shared" si="22"/>
        <v>3486.6613085500098</v>
      </c>
      <c r="AA15" s="84">
        <f t="shared" si="23"/>
        <v>3554.1291258914994</v>
      </c>
      <c r="AB15" s="84">
        <f t="shared" si="24"/>
        <v>3607.9883572536896</v>
      </c>
      <c r="AC15" s="84">
        <f t="shared" si="25"/>
        <v>241.39685766000008</v>
      </c>
      <c r="AD15" s="84">
        <f t="shared" si="26"/>
        <v>871.66532713750246</v>
      </c>
      <c r="AE15" s="84">
        <f t="shared" si="27"/>
        <v>888.53228147287484</v>
      </c>
      <c r="AF15" s="84">
        <f t="shared" si="28"/>
        <v>901.99708931342241</v>
      </c>
      <c r="AG15" s="84">
        <f t="shared" si="29"/>
        <v>724.1905729800003</v>
      </c>
      <c r="AH15" s="84">
        <f t="shared" si="30"/>
        <v>2614.9959814125073</v>
      </c>
      <c r="AI15" s="84">
        <f t="shared" si="31"/>
        <v>2665.5968444186246</v>
      </c>
      <c r="AJ15" s="84">
        <f t="shared" si="32"/>
        <v>2705.9912679402673</v>
      </c>
      <c r="AK15" s="84">
        <f t="shared" si="33"/>
        <v>33824.890849253337</v>
      </c>
      <c r="AL15" s="84">
        <f t="shared" si="34"/>
        <v>27844.612700120797</v>
      </c>
      <c r="AM15" s="84">
        <f t="shared" si="35"/>
        <v>24994.769611767762</v>
      </c>
    </row>
    <row r="16" spans="1:39">
      <c r="A16" s="82" t="s">
        <v>241</v>
      </c>
      <c r="B16" s="83">
        <v>0.8</v>
      </c>
      <c r="C16" s="83">
        <v>0.03</v>
      </c>
      <c r="D16" s="83">
        <f t="shared" si="0"/>
        <v>0.65</v>
      </c>
      <c r="E16" s="84">
        <f t="shared" si="1"/>
        <v>1867.0156803999998</v>
      </c>
      <c r="F16" s="84">
        <f t="shared" si="2"/>
        <v>4558.2657079999999</v>
      </c>
      <c r="G16" s="84">
        <f t="shared" si="3"/>
        <v>4570.7541071999995</v>
      </c>
      <c r="H16" s="84">
        <f t="shared" si="4"/>
        <v>4695.0136792399999</v>
      </c>
      <c r="I16" s="84">
        <f t="shared" si="5"/>
        <v>248.73750000000001</v>
      </c>
      <c r="J16" s="84">
        <f t="shared" si="6"/>
        <v>396.17099999999999</v>
      </c>
      <c r="K16" s="84">
        <f t="shared" si="7"/>
        <v>463.4658</v>
      </c>
      <c r="L16" s="84">
        <f t="shared" si="8"/>
        <v>528.22799999999995</v>
      </c>
      <c r="M16" s="84">
        <f t="shared" si="9"/>
        <v>366.38409600000006</v>
      </c>
      <c r="N16" s="84">
        <f t="shared" si="10"/>
        <v>601.24569600000007</v>
      </c>
      <c r="O16" s="84">
        <f t="shared" si="11"/>
        <v>601.24569600000007</v>
      </c>
      <c r="P16" s="84">
        <f t="shared" si="12"/>
        <v>601.24569600000007</v>
      </c>
      <c r="Q16" s="84">
        <f t="shared" si="13"/>
        <v>2482.1372764000002</v>
      </c>
      <c r="R16" s="84">
        <f t="shared" si="14"/>
        <v>5555.6824040000001</v>
      </c>
      <c r="S16" s="84">
        <f t="shared" si="15"/>
        <v>5635.4656031999994</v>
      </c>
      <c r="T16" s="84">
        <f t="shared" si="16"/>
        <v>5824.4873752399999</v>
      </c>
      <c r="U16" s="84">
        <f t="shared" si="17"/>
        <v>1516.5498457599999</v>
      </c>
      <c r="V16" s="84">
        <f t="shared" si="18"/>
        <v>2069.0210954499903</v>
      </c>
      <c r="W16" s="84">
        <f t="shared" si="19"/>
        <v>2081.3364773085</v>
      </c>
      <c r="X16" s="84">
        <f t="shared" si="20"/>
        <v>2083.1697460273099</v>
      </c>
      <c r="Y16" s="84">
        <f t="shared" si="21"/>
        <v>965.58743064000032</v>
      </c>
      <c r="Z16" s="84">
        <f t="shared" si="22"/>
        <v>3486.6613085500098</v>
      </c>
      <c r="AA16" s="84">
        <f t="shared" si="23"/>
        <v>3554.1291258914994</v>
      </c>
      <c r="AB16" s="84">
        <f t="shared" si="24"/>
        <v>3741.31762921269</v>
      </c>
      <c r="AC16" s="84">
        <f t="shared" si="25"/>
        <v>241.39685766000008</v>
      </c>
      <c r="AD16" s="84">
        <f t="shared" si="26"/>
        <v>871.66532713750246</v>
      </c>
      <c r="AE16" s="84">
        <f t="shared" si="27"/>
        <v>888.53228147287484</v>
      </c>
      <c r="AF16" s="84">
        <f t="shared" si="28"/>
        <v>935.3294073031725</v>
      </c>
      <c r="AG16" s="84">
        <f t="shared" si="29"/>
        <v>724.1905729800003</v>
      </c>
      <c r="AH16" s="84">
        <f t="shared" si="30"/>
        <v>2614.9959814125073</v>
      </c>
      <c r="AI16" s="84">
        <f t="shared" si="31"/>
        <v>2665.5968444186246</v>
      </c>
      <c r="AJ16" s="84">
        <f t="shared" si="32"/>
        <v>2805.9882219095175</v>
      </c>
      <c r="AK16" s="84">
        <f t="shared" si="33"/>
        <v>35074.852773868966</v>
      </c>
      <c r="AL16" s="84">
        <f t="shared" si="34"/>
        <v>28702.535972564598</v>
      </c>
      <c r="AM16" s="84">
        <f t="shared" si="35"/>
        <v>25827.704827732618</v>
      </c>
    </row>
    <row r="17" spans="1:39">
      <c r="A17" s="82" t="s">
        <v>242</v>
      </c>
      <c r="B17" s="83">
        <v>0.8</v>
      </c>
      <c r="C17" s="83">
        <v>0.05</v>
      </c>
      <c r="D17" s="83">
        <f t="shared" si="0"/>
        <v>0.65</v>
      </c>
      <c r="E17" s="84">
        <f t="shared" si="1"/>
        <v>1867.0156803999998</v>
      </c>
      <c r="F17" s="84">
        <f t="shared" si="2"/>
        <v>4558.2657079999999</v>
      </c>
      <c r="G17" s="84">
        <f t="shared" si="3"/>
        <v>4570.7541071999995</v>
      </c>
      <c r="H17" s="84">
        <f t="shared" si="4"/>
        <v>4786.1789933999999</v>
      </c>
      <c r="I17" s="84">
        <f t="shared" si="5"/>
        <v>248.73750000000001</v>
      </c>
      <c r="J17" s="84">
        <f t="shared" si="6"/>
        <v>396.17099999999999</v>
      </c>
      <c r="K17" s="84">
        <f t="shared" si="7"/>
        <v>463.4658</v>
      </c>
      <c r="L17" s="84">
        <f t="shared" si="8"/>
        <v>528.22799999999995</v>
      </c>
      <c r="M17" s="84">
        <f t="shared" si="9"/>
        <v>366.38409600000006</v>
      </c>
      <c r="N17" s="84">
        <f t="shared" si="10"/>
        <v>601.24569600000007</v>
      </c>
      <c r="O17" s="84">
        <f t="shared" si="11"/>
        <v>601.24569600000007</v>
      </c>
      <c r="P17" s="84">
        <f t="shared" si="12"/>
        <v>601.24569600000007</v>
      </c>
      <c r="Q17" s="84">
        <f t="shared" si="13"/>
        <v>2482.1372764000002</v>
      </c>
      <c r="R17" s="84">
        <f t="shared" si="14"/>
        <v>5555.6824040000001</v>
      </c>
      <c r="S17" s="84">
        <f t="shared" si="15"/>
        <v>5635.4656031999994</v>
      </c>
      <c r="T17" s="84">
        <f t="shared" si="16"/>
        <v>5915.6526893999999</v>
      </c>
      <c r="U17" s="84">
        <f t="shared" si="17"/>
        <v>1516.5498457599999</v>
      </c>
      <c r="V17" s="84">
        <f t="shared" si="18"/>
        <v>2069.0210954499903</v>
      </c>
      <c r="W17" s="84">
        <f t="shared" si="19"/>
        <v>2081.3364773085</v>
      </c>
      <c r="X17" s="84">
        <f t="shared" si="20"/>
        <v>2085.4488788813101</v>
      </c>
      <c r="Y17" s="84">
        <f t="shared" si="21"/>
        <v>965.58743064000032</v>
      </c>
      <c r="Z17" s="84">
        <f t="shared" si="22"/>
        <v>3486.6613085500098</v>
      </c>
      <c r="AA17" s="84">
        <f t="shared" si="23"/>
        <v>3554.1291258914994</v>
      </c>
      <c r="AB17" s="84">
        <f t="shared" si="24"/>
        <v>3830.2038105186898</v>
      </c>
      <c r="AC17" s="84">
        <f t="shared" si="25"/>
        <v>241.39685766000008</v>
      </c>
      <c r="AD17" s="84">
        <f t="shared" si="26"/>
        <v>871.66532713750246</v>
      </c>
      <c r="AE17" s="84">
        <f t="shared" si="27"/>
        <v>888.53228147287484</v>
      </c>
      <c r="AF17" s="84">
        <f t="shared" si="28"/>
        <v>957.55095262967245</v>
      </c>
      <c r="AG17" s="84">
        <f t="shared" si="29"/>
        <v>724.1905729800003</v>
      </c>
      <c r="AH17" s="84">
        <f t="shared" si="30"/>
        <v>2614.9959814125073</v>
      </c>
      <c r="AI17" s="84">
        <f t="shared" si="31"/>
        <v>2665.5968444186246</v>
      </c>
      <c r="AJ17" s="84">
        <f t="shared" si="32"/>
        <v>2872.6528578890175</v>
      </c>
      <c r="AK17" s="84">
        <f t="shared" si="33"/>
        <v>35908.160723612717</v>
      </c>
      <c r="AL17" s="84">
        <f t="shared" si="34"/>
        <v>29274.484820860464</v>
      </c>
      <c r="AM17" s="84">
        <f t="shared" si="35"/>
        <v>26382.994971709188</v>
      </c>
    </row>
    <row r="18" spans="1:39">
      <c r="A18" s="82" t="s">
        <v>243</v>
      </c>
      <c r="B18" s="83">
        <v>0.8</v>
      </c>
      <c r="C18" s="83">
        <v>0.08</v>
      </c>
      <c r="D18" s="83">
        <f t="shared" si="0"/>
        <v>0.65</v>
      </c>
      <c r="E18" s="84">
        <f t="shared" si="1"/>
        <v>1867.0156803999998</v>
      </c>
      <c r="F18" s="84">
        <f t="shared" si="2"/>
        <v>4558.2657079999999</v>
      </c>
      <c r="G18" s="84">
        <f t="shared" si="3"/>
        <v>4570.7541071999995</v>
      </c>
      <c r="H18" s="84">
        <f t="shared" si="4"/>
        <v>4922.9269646400007</v>
      </c>
      <c r="I18" s="84">
        <f t="shared" si="5"/>
        <v>248.73750000000001</v>
      </c>
      <c r="J18" s="84">
        <f t="shared" si="6"/>
        <v>396.17099999999999</v>
      </c>
      <c r="K18" s="84">
        <f t="shared" si="7"/>
        <v>463.4658</v>
      </c>
      <c r="L18" s="84">
        <f t="shared" si="8"/>
        <v>528.22799999999995</v>
      </c>
      <c r="M18" s="84">
        <f t="shared" si="9"/>
        <v>366.38409600000006</v>
      </c>
      <c r="N18" s="84">
        <f t="shared" si="10"/>
        <v>601.24569600000007</v>
      </c>
      <c r="O18" s="84">
        <f t="shared" si="11"/>
        <v>601.24569600000007</v>
      </c>
      <c r="P18" s="84">
        <f t="shared" si="12"/>
        <v>601.24569600000007</v>
      </c>
      <c r="Q18" s="84">
        <f t="shared" si="13"/>
        <v>2482.1372764000002</v>
      </c>
      <c r="R18" s="84">
        <f t="shared" si="14"/>
        <v>5555.6824040000001</v>
      </c>
      <c r="S18" s="84">
        <f t="shared" si="15"/>
        <v>5635.4656031999994</v>
      </c>
      <c r="T18" s="84">
        <f t="shared" si="16"/>
        <v>6052.4006606400008</v>
      </c>
      <c r="U18" s="84">
        <f t="shared" si="17"/>
        <v>1516.5498457599999</v>
      </c>
      <c r="V18" s="84">
        <f t="shared" si="18"/>
        <v>2069.0210954499903</v>
      </c>
      <c r="W18" s="84">
        <f t="shared" si="19"/>
        <v>2081.3364773085</v>
      </c>
      <c r="X18" s="84">
        <f t="shared" si="20"/>
        <v>2088.8675781623101</v>
      </c>
      <c r="Y18" s="84">
        <f t="shared" si="21"/>
        <v>965.58743064000032</v>
      </c>
      <c r="Z18" s="84">
        <f t="shared" si="22"/>
        <v>3486.6613085500098</v>
      </c>
      <c r="AA18" s="84">
        <f t="shared" si="23"/>
        <v>3554.1291258914994</v>
      </c>
      <c r="AB18" s="84">
        <f t="shared" si="24"/>
        <v>3963.5330824776906</v>
      </c>
      <c r="AC18" s="84">
        <f t="shared" si="25"/>
        <v>241.39685766000008</v>
      </c>
      <c r="AD18" s="84">
        <f t="shared" si="26"/>
        <v>871.66532713750246</v>
      </c>
      <c r="AE18" s="84">
        <f t="shared" si="27"/>
        <v>888.53228147287484</v>
      </c>
      <c r="AF18" s="84">
        <f t="shared" si="28"/>
        <v>990.88327061942266</v>
      </c>
      <c r="AG18" s="84">
        <f t="shared" si="29"/>
        <v>724.1905729800003</v>
      </c>
      <c r="AH18" s="84">
        <f t="shared" si="30"/>
        <v>2614.9959814125073</v>
      </c>
      <c r="AI18" s="84">
        <f t="shared" si="31"/>
        <v>2665.5968444186246</v>
      </c>
      <c r="AJ18" s="84">
        <f t="shared" si="32"/>
        <v>2972.6498118582681</v>
      </c>
      <c r="AK18" s="84">
        <f t="shared" si="33"/>
        <v>37158.122648228353</v>
      </c>
      <c r="AL18" s="84">
        <f t="shared" si="34"/>
        <v>30132.408093304275</v>
      </c>
      <c r="AM18" s="84">
        <f t="shared" si="35"/>
        <v>27215.930187674054</v>
      </c>
    </row>
    <row r="19" spans="1:39">
      <c r="A19" s="82" t="s">
        <v>244</v>
      </c>
      <c r="B19" s="83">
        <v>0.85</v>
      </c>
      <c r="C19" s="83">
        <v>-0.03</v>
      </c>
      <c r="D19" s="83">
        <f t="shared" si="0"/>
        <v>0.7</v>
      </c>
      <c r="E19" s="84">
        <f t="shared" si="1"/>
        <v>2010.6322711999996</v>
      </c>
      <c r="F19" s="84">
        <f t="shared" si="2"/>
        <v>4843.1573147499994</v>
      </c>
      <c r="G19" s="84">
        <f t="shared" si="3"/>
        <v>4856.4262388999987</v>
      </c>
      <c r="H19" s="84">
        <f t="shared" si="4"/>
        <v>4697.8625953074989</v>
      </c>
      <c r="I19" s="84">
        <f t="shared" si="5"/>
        <v>248.73750000000001</v>
      </c>
      <c r="J19" s="84">
        <f t="shared" si="6"/>
        <v>396.17099999999999</v>
      </c>
      <c r="K19" s="84">
        <f t="shared" si="7"/>
        <v>463.4658</v>
      </c>
      <c r="L19" s="84">
        <f t="shared" si="8"/>
        <v>528.22799999999995</v>
      </c>
      <c r="M19" s="84">
        <f t="shared" si="9"/>
        <v>394.56748799999997</v>
      </c>
      <c r="N19" s="84">
        <f t="shared" si="10"/>
        <v>638.82355199999995</v>
      </c>
      <c r="O19" s="84">
        <f t="shared" si="11"/>
        <v>638.82355199999995</v>
      </c>
      <c r="P19" s="84">
        <f t="shared" si="12"/>
        <v>638.82355199999995</v>
      </c>
      <c r="Q19" s="84">
        <f t="shared" si="13"/>
        <v>2653.9372592</v>
      </c>
      <c r="R19" s="84">
        <f t="shared" si="14"/>
        <v>5878.1518667499995</v>
      </c>
      <c r="S19" s="84">
        <f t="shared" si="15"/>
        <v>5958.7155908999985</v>
      </c>
      <c r="T19" s="84">
        <f t="shared" si="16"/>
        <v>5864.9141473074988</v>
      </c>
      <c r="U19" s="84">
        <f t="shared" si="17"/>
        <v>1520.14026053</v>
      </c>
      <c r="V19" s="84">
        <f t="shared" si="18"/>
        <v>2076.14338561874</v>
      </c>
      <c r="W19" s="84">
        <f t="shared" si="19"/>
        <v>2088.4782806009998</v>
      </c>
      <c r="X19" s="84">
        <f t="shared" si="20"/>
        <v>2083.2409689289975</v>
      </c>
      <c r="Y19" s="84">
        <f t="shared" si="21"/>
        <v>1133.79699867</v>
      </c>
      <c r="Z19" s="84">
        <f t="shared" si="22"/>
        <v>3802.0084811312595</v>
      </c>
      <c r="AA19" s="84">
        <f t="shared" si="23"/>
        <v>3870.2373102989986</v>
      </c>
      <c r="AB19" s="84">
        <f t="shared" si="24"/>
        <v>3781.6731783785012</v>
      </c>
      <c r="AC19" s="84">
        <f t="shared" si="25"/>
        <v>283.4492496675</v>
      </c>
      <c r="AD19" s="84">
        <f t="shared" si="26"/>
        <v>950.50212028281487</v>
      </c>
      <c r="AE19" s="84">
        <f t="shared" si="27"/>
        <v>967.55932757474966</v>
      </c>
      <c r="AF19" s="84">
        <f t="shared" si="28"/>
        <v>945.41829459462531</v>
      </c>
      <c r="AG19" s="84">
        <f t="shared" si="29"/>
        <v>850.3477490025</v>
      </c>
      <c r="AH19" s="84">
        <f t="shared" si="30"/>
        <v>2851.5063608484447</v>
      </c>
      <c r="AI19" s="84">
        <f t="shared" si="31"/>
        <v>2902.677982724249</v>
      </c>
      <c r="AJ19" s="84">
        <f t="shared" si="32"/>
        <v>2836.2548837838758</v>
      </c>
      <c r="AK19" s="84">
        <f t="shared" si="33"/>
        <v>35453.186047298448</v>
      </c>
      <c r="AL19" s="84">
        <f t="shared" si="34"/>
        <v>29432.143251858273</v>
      </c>
      <c r="AM19" s="84">
        <f t="shared" si="35"/>
        <v>26536.061409571139</v>
      </c>
    </row>
    <row r="20" spans="1:39">
      <c r="A20" s="82" t="s">
        <v>245</v>
      </c>
      <c r="B20" s="83">
        <v>0.85</v>
      </c>
      <c r="C20" s="83">
        <v>0</v>
      </c>
      <c r="D20" s="83">
        <f t="shared" si="0"/>
        <v>0.7</v>
      </c>
      <c r="E20" s="84">
        <f t="shared" si="1"/>
        <v>2010.6322711999996</v>
      </c>
      <c r="F20" s="84">
        <f t="shared" si="2"/>
        <v>4843.1573147499994</v>
      </c>
      <c r="G20" s="84">
        <f t="shared" si="3"/>
        <v>4856.4262388999987</v>
      </c>
      <c r="H20" s="84">
        <f t="shared" si="4"/>
        <v>4843.1573147499994</v>
      </c>
      <c r="I20" s="84">
        <f t="shared" si="5"/>
        <v>248.73750000000001</v>
      </c>
      <c r="J20" s="84">
        <f t="shared" si="6"/>
        <v>396.17099999999999</v>
      </c>
      <c r="K20" s="84">
        <f t="shared" si="7"/>
        <v>463.4658</v>
      </c>
      <c r="L20" s="84">
        <f t="shared" si="8"/>
        <v>528.22799999999995</v>
      </c>
      <c r="M20" s="84">
        <f t="shared" si="9"/>
        <v>394.56748799999997</v>
      </c>
      <c r="N20" s="84">
        <f t="shared" si="10"/>
        <v>638.82355199999995</v>
      </c>
      <c r="O20" s="84">
        <f t="shared" si="11"/>
        <v>638.82355199999995</v>
      </c>
      <c r="P20" s="84">
        <f t="shared" si="12"/>
        <v>638.82355199999995</v>
      </c>
      <c r="Q20" s="84">
        <f t="shared" si="13"/>
        <v>2653.9372592</v>
      </c>
      <c r="R20" s="84">
        <f t="shared" si="14"/>
        <v>5878.1518667499995</v>
      </c>
      <c r="S20" s="84">
        <f t="shared" si="15"/>
        <v>5958.7155908999985</v>
      </c>
      <c r="T20" s="84">
        <f t="shared" si="16"/>
        <v>6010.2088667499993</v>
      </c>
      <c r="U20" s="84">
        <f t="shared" si="17"/>
        <v>1520.14026053</v>
      </c>
      <c r="V20" s="84">
        <f t="shared" si="18"/>
        <v>2076.14338561874</v>
      </c>
      <c r="W20" s="84">
        <f t="shared" si="19"/>
        <v>2088.4782806009998</v>
      </c>
      <c r="X20" s="84">
        <f t="shared" si="20"/>
        <v>2086.87333691506</v>
      </c>
      <c r="Y20" s="84">
        <f t="shared" si="21"/>
        <v>1133.79699867</v>
      </c>
      <c r="Z20" s="84">
        <f t="shared" si="22"/>
        <v>3802.0084811312595</v>
      </c>
      <c r="AA20" s="84">
        <f t="shared" si="23"/>
        <v>3870.2373102989986</v>
      </c>
      <c r="AB20" s="84">
        <f t="shared" si="24"/>
        <v>3923.3355298349393</v>
      </c>
      <c r="AC20" s="84">
        <f t="shared" si="25"/>
        <v>283.4492496675</v>
      </c>
      <c r="AD20" s="84">
        <f t="shared" si="26"/>
        <v>950.50212028281487</v>
      </c>
      <c r="AE20" s="84">
        <f t="shared" si="27"/>
        <v>967.55932757474966</v>
      </c>
      <c r="AF20" s="84">
        <f t="shared" si="28"/>
        <v>980.83388245873482</v>
      </c>
      <c r="AG20" s="84">
        <f t="shared" si="29"/>
        <v>850.3477490025</v>
      </c>
      <c r="AH20" s="84">
        <f t="shared" si="30"/>
        <v>2851.5063608484447</v>
      </c>
      <c r="AI20" s="84">
        <f t="shared" si="31"/>
        <v>2902.677982724249</v>
      </c>
      <c r="AJ20" s="84">
        <f t="shared" si="32"/>
        <v>2942.5016473762043</v>
      </c>
      <c r="AK20" s="84">
        <f t="shared" si="33"/>
        <v>36781.270592202556</v>
      </c>
      <c r="AL20" s="84">
        <f t="shared" si="34"/>
        <v>30343.686728829813</v>
      </c>
      <c r="AM20" s="84">
        <f t="shared" si="35"/>
        <v>27421.055076533798</v>
      </c>
    </row>
    <row r="21" spans="1:39">
      <c r="A21" s="82" t="s">
        <v>246</v>
      </c>
      <c r="B21" s="83">
        <v>0.85</v>
      </c>
      <c r="C21" s="83">
        <v>0.03</v>
      </c>
      <c r="D21" s="83">
        <f t="shared" si="0"/>
        <v>0.7</v>
      </c>
      <c r="E21" s="84">
        <f t="shared" si="1"/>
        <v>2010.6322711999996</v>
      </c>
      <c r="F21" s="84">
        <f t="shared" si="2"/>
        <v>4843.1573147499994</v>
      </c>
      <c r="G21" s="84">
        <f t="shared" si="3"/>
        <v>4856.4262388999987</v>
      </c>
      <c r="H21" s="84">
        <f t="shared" si="4"/>
        <v>4988.4520341924999</v>
      </c>
      <c r="I21" s="84">
        <f t="shared" si="5"/>
        <v>248.73750000000001</v>
      </c>
      <c r="J21" s="84">
        <f t="shared" si="6"/>
        <v>396.17099999999999</v>
      </c>
      <c r="K21" s="84">
        <f t="shared" si="7"/>
        <v>463.4658</v>
      </c>
      <c r="L21" s="84">
        <f t="shared" si="8"/>
        <v>528.22799999999995</v>
      </c>
      <c r="M21" s="84">
        <f t="shared" si="9"/>
        <v>394.56748799999997</v>
      </c>
      <c r="N21" s="84">
        <f t="shared" si="10"/>
        <v>638.82355199999995</v>
      </c>
      <c r="O21" s="84">
        <f t="shared" si="11"/>
        <v>638.82355199999995</v>
      </c>
      <c r="P21" s="84">
        <f t="shared" si="12"/>
        <v>638.82355199999995</v>
      </c>
      <c r="Q21" s="84">
        <f t="shared" si="13"/>
        <v>2653.9372592</v>
      </c>
      <c r="R21" s="84">
        <f t="shared" si="14"/>
        <v>5878.1518667499995</v>
      </c>
      <c r="S21" s="84">
        <f t="shared" si="15"/>
        <v>5958.7155908999985</v>
      </c>
      <c r="T21" s="84">
        <f t="shared" si="16"/>
        <v>6155.5035861924998</v>
      </c>
      <c r="U21" s="84">
        <f t="shared" si="17"/>
        <v>1520.14026053</v>
      </c>
      <c r="V21" s="84">
        <f t="shared" si="18"/>
        <v>2076.14338561874</v>
      </c>
      <c r="W21" s="84">
        <f t="shared" si="19"/>
        <v>2088.4782806009998</v>
      </c>
      <c r="X21" s="84">
        <f t="shared" si="20"/>
        <v>2090.5057049011225</v>
      </c>
      <c r="Y21" s="84">
        <f t="shared" si="21"/>
        <v>1133.79699867</v>
      </c>
      <c r="Z21" s="84">
        <f t="shared" si="22"/>
        <v>3802.0084811312595</v>
      </c>
      <c r="AA21" s="84">
        <f t="shared" si="23"/>
        <v>3870.2373102989986</v>
      </c>
      <c r="AB21" s="84">
        <f t="shared" si="24"/>
        <v>4064.9978812913773</v>
      </c>
      <c r="AC21" s="84">
        <f t="shared" si="25"/>
        <v>283.4492496675</v>
      </c>
      <c r="AD21" s="84">
        <f t="shared" si="26"/>
        <v>950.50212028281487</v>
      </c>
      <c r="AE21" s="84">
        <f t="shared" si="27"/>
        <v>967.55932757474966</v>
      </c>
      <c r="AF21" s="84">
        <f t="shared" si="28"/>
        <v>1016.2494703228443</v>
      </c>
      <c r="AG21" s="84">
        <f t="shared" si="29"/>
        <v>850.3477490025</v>
      </c>
      <c r="AH21" s="84">
        <f t="shared" si="30"/>
        <v>2851.5063608484447</v>
      </c>
      <c r="AI21" s="84">
        <f t="shared" si="31"/>
        <v>2902.677982724249</v>
      </c>
      <c r="AJ21" s="84">
        <f t="shared" si="32"/>
        <v>3048.7484109685329</v>
      </c>
      <c r="AK21" s="84">
        <f t="shared" si="33"/>
        <v>38109.355137106657</v>
      </c>
      <c r="AL21" s="84">
        <f t="shared" si="34"/>
        <v>31255.230205801352</v>
      </c>
      <c r="AM21" s="84">
        <f t="shared" si="35"/>
        <v>28306.048743496456</v>
      </c>
    </row>
    <row r="22" spans="1:39">
      <c r="A22" s="82" t="s">
        <v>247</v>
      </c>
      <c r="B22" s="83">
        <v>0.85</v>
      </c>
      <c r="C22" s="83">
        <v>0.05</v>
      </c>
      <c r="D22" s="83">
        <f t="shared" si="0"/>
        <v>0.7</v>
      </c>
      <c r="E22" s="84">
        <f t="shared" si="1"/>
        <v>2010.6322711999996</v>
      </c>
      <c r="F22" s="84">
        <f t="shared" si="2"/>
        <v>4843.1573147499994</v>
      </c>
      <c r="G22" s="84">
        <f t="shared" si="3"/>
        <v>4856.4262388999987</v>
      </c>
      <c r="H22" s="84">
        <f t="shared" si="4"/>
        <v>5085.3151804874997</v>
      </c>
      <c r="I22" s="84">
        <f t="shared" si="5"/>
        <v>248.73750000000001</v>
      </c>
      <c r="J22" s="84">
        <f t="shared" si="6"/>
        <v>396.17099999999999</v>
      </c>
      <c r="K22" s="84">
        <f t="shared" si="7"/>
        <v>463.4658</v>
      </c>
      <c r="L22" s="84">
        <f t="shared" si="8"/>
        <v>528.22799999999995</v>
      </c>
      <c r="M22" s="84">
        <f t="shared" si="9"/>
        <v>394.56748799999997</v>
      </c>
      <c r="N22" s="84">
        <f t="shared" si="10"/>
        <v>638.82355199999995</v>
      </c>
      <c r="O22" s="84">
        <f t="shared" si="11"/>
        <v>638.82355199999995</v>
      </c>
      <c r="P22" s="84">
        <f t="shared" si="12"/>
        <v>638.82355199999995</v>
      </c>
      <c r="Q22" s="84">
        <f t="shared" si="13"/>
        <v>2653.9372592</v>
      </c>
      <c r="R22" s="84">
        <f t="shared" si="14"/>
        <v>5878.1518667499995</v>
      </c>
      <c r="S22" s="84">
        <f t="shared" si="15"/>
        <v>5958.7155908999985</v>
      </c>
      <c r="T22" s="84">
        <f t="shared" si="16"/>
        <v>6252.3667324874996</v>
      </c>
      <c r="U22" s="84">
        <f t="shared" si="17"/>
        <v>1520.14026053</v>
      </c>
      <c r="V22" s="84">
        <f t="shared" si="18"/>
        <v>2076.14338561874</v>
      </c>
      <c r="W22" s="84">
        <f t="shared" si="19"/>
        <v>2088.4782806009998</v>
      </c>
      <c r="X22" s="84">
        <f t="shared" si="20"/>
        <v>2092.9272835584975</v>
      </c>
      <c r="Y22" s="84">
        <f t="shared" si="21"/>
        <v>1133.79699867</v>
      </c>
      <c r="Z22" s="84">
        <f t="shared" si="22"/>
        <v>3802.0084811312595</v>
      </c>
      <c r="AA22" s="84">
        <f t="shared" si="23"/>
        <v>3870.2373102989986</v>
      </c>
      <c r="AB22" s="84">
        <f t="shared" si="24"/>
        <v>4159.4394489290025</v>
      </c>
      <c r="AC22" s="84">
        <f t="shared" si="25"/>
        <v>283.4492496675</v>
      </c>
      <c r="AD22" s="84">
        <f t="shared" si="26"/>
        <v>950.50212028281487</v>
      </c>
      <c r="AE22" s="84">
        <f t="shared" si="27"/>
        <v>967.55932757474966</v>
      </c>
      <c r="AF22" s="84">
        <f t="shared" si="28"/>
        <v>1039.8598622322506</v>
      </c>
      <c r="AG22" s="84">
        <f t="shared" si="29"/>
        <v>850.3477490025</v>
      </c>
      <c r="AH22" s="84">
        <f t="shared" si="30"/>
        <v>2851.5063608484447</v>
      </c>
      <c r="AI22" s="84">
        <f t="shared" si="31"/>
        <v>2902.677982724249</v>
      </c>
      <c r="AJ22" s="84">
        <f t="shared" si="32"/>
        <v>3119.5795866967519</v>
      </c>
      <c r="AK22" s="84">
        <f t="shared" si="33"/>
        <v>38994.744833709396</v>
      </c>
      <c r="AL22" s="84">
        <f t="shared" si="34"/>
        <v>31862.925857115715</v>
      </c>
      <c r="AM22" s="84">
        <f t="shared" si="35"/>
        <v>28896.044521471569</v>
      </c>
    </row>
    <row r="23" spans="1:39">
      <c r="A23" s="82" t="s">
        <v>248</v>
      </c>
      <c r="B23" s="83">
        <v>0.85</v>
      </c>
      <c r="C23" s="83">
        <v>0.08</v>
      </c>
      <c r="D23" s="83">
        <f t="shared" si="0"/>
        <v>0.7</v>
      </c>
      <c r="E23" s="84">
        <f t="shared" si="1"/>
        <v>2010.6322711999996</v>
      </c>
      <c r="F23" s="84">
        <f t="shared" si="2"/>
        <v>4843.1573147499994</v>
      </c>
      <c r="G23" s="84">
        <f t="shared" si="3"/>
        <v>4856.4262388999987</v>
      </c>
      <c r="H23" s="84">
        <f t="shared" si="4"/>
        <v>5230.6098999299993</v>
      </c>
      <c r="I23" s="84">
        <f t="shared" si="5"/>
        <v>248.73750000000001</v>
      </c>
      <c r="J23" s="84">
        <f t="shared" si="6"/>
        <v>396.17099999999999</v>
      </c>
      <c r="K23" s="84">
        <f t="shared" si="7"/>
        <v>463.4658</v>
      </c>
      <c r="L23" s="84">
        <f t="shared" si="8"/>
        <v>528.22799999999995</v>
      </c>
      <c r="M23" s="84">
        <f t="shared" si="9"/>
        <v>394.56748799999997</v>
      </c>
      <c r="N23" s="84">
        <f t="shared" si="10"/>
        <v>638.82355199999995</v>
      </c>
      <c r="O23" s="84">
        <f t="shared" si="11"/>
        <v>638.82355199999995</v>
      </c>
      <c r="P23" s="84">
        <f t="shared" si="12"/>
        <v>638.82355199999995</v>
      </c>
      <c r="Q23" s="84">
        <f t="shared" si="13"/>
        <v>2653.9372592</v>
      </c>
      <c r="R23" s="84">
        <f t="shared" si="14"/>
        <v>5878.1518667499995</v>
      </c>
      <c r="S23" s="84">
        <f t="shared" si="15"/>
        <v>5958.7155908999985</v>
      </c>
      <c r="T23" s="84">
        <f t="shared" si="16"/>
        <v>6397.6614519299992</v>
      </c>
      <c r="U23" s="84">
        <f t="shared" si="17"/>
        <v>1520.14026053</v>
      </c>
      <c r="V23" s="84">
        <f t="shared" si="18"/>
        <v>2076.14338561874</v>
      </c>
      <c r="W23" s="84">
        <f t="shared" si="19"/>
        <v>2088.4782806009998</v>
      </c>
      <c r="X23" s="84">
        <f t="shared" si="20"/>
        <v>2096.55965154456</v>
      </c>
      <c r="Y23" s="84">
        <f t="shared" si="21"/>
        <v>1133.79699867</v>
      </c>
      <c r="Z23" s="84">
        <f t="shared" si="22"/>
        <v>3802.0084811312595</v>
      </c>
      <c r="AA23" s="84">
        <f t="shared" si="23"/>
        <v>3870.2373102989986</v>
      </c>
      <c r="AB23" s="84">
        <f t="shared" si="24"/>
        <v>4301.1018003854388</v>
      </c>
      <c r="AC23" s="84">
        <f t="shared" si="25"/>
        <v>283.4492496675</v>
      </c>
      <c r="AD23" s="84">
        <f t="shared" si="26"/>
        <v>950.50212028281487</v>
      </c>
      <c r="AE23" s="84">
        <f t="shared" si="27"/>
        <v>967.55932757474966</v>
      </c>
      <c r="AF23" s="84">
        <f t="shared" si="28"/>
        <v>1075.2754500963597</v>
      </c>
      <c r="AG23" s="84">
        <f t="shared" si="29"/>
        <v>850.3477490025</v>
      </c>
      <c r="AH23" s="84">
        <f t="shared" si="30"/>
        <v>2851.5063608484447</v>
      </c>
      <c r="AI23" s="84">
        <f t="shared" si="31"/>
        <v>2902.677982724249</v>
      </c>
      <c r="AJ23" s="84">
        <f t="shared" si="32"/>
        <v>3225.8263502890791</v>
      </c>
      <c r="AK23" s="84">
        <f t="shared" si="33"/>
        <v>40322.829378613489</v>
      </c>
      <c r="AL23" s="84">
        <f t="shared" si="34"/>
        <v>32774.469334087247</v>
      </c>
      <c r="AM23" s="84">
        <f t="shared" si="35"/>
        <v>29781.038188434221</v>
      </c>
    </row>
    <row r="24" spans="1:39">
      <c r="A24" s="82" t="s">
        <v>249</v>
      </c>
      <c r="B24" s="83">
        <v>0.9</v>
      </c>
      <c r="C24" s="83">
        <v>-0.03</v>
      </c>
      <c r="D24" s="83">
        <f t="shared" si="0"/>
        <v>0.75</v>
      </c>
      <c r="E24" s="84">
        <f t="shared" si="1"/>
        <v>2154.2488619999999</v>
      </c>
      <c r="F24" s="84">
        <f t="shared" si="2"/>
        <v>5128.0489215000007</v>
      </c>
      <c r="G24" s="84">
        <f t="shared" si="3"/>
        <v>5142.0983705999997</v>
      </c>
      <c r="H24" s="84">
        <f t="shared" si="4"/>
        <v>4974.2074538550005</v>
      </c>
      <c r="I24" s="84">
        <f t="shared" si="5"/>
        <v>248.73750000000001</v>
      </c>
      <c r="J24" s="84">
        <f t="shared" si="6"/>
        <v>396.17099999999999</v>
      </c>
      <c r="K24" s="84">
        <f t="shared" si="7"/>
        <v>463.4658</v>
      </c>
      <c r="L24" s="84">
        <f t="shared" si="8"/>
        <v>528.22799999999995</v>
      </c>
      <c r="M24" s="84">
        <f t="shared" si="9"/>
        <v>422.75088</v>
      </c>
      <c r="N24" s="84">
        <f t="shared" si="10"/>
        <v>676.40140800000006</v>
      </c>
      <c r="O24" s="84">
        <f t="shared" si="11"/>
        <v>676.40140800000006</v>
      </c>
      <c r="P24" s="84">
        <f t="shared" si="12"/>
        <v>676.40140800000006</v>
      </c>
      <c r="Q24" s="84">
        <f t="shared" si="13"/>
        <v>2825.7372420000002</v>
      </c>
      <c r="R24" s="84">
        <f t="shared" si="14"/>
        <v>6200.6213295000007</v>
      </c>
      <c r="S24" s="84">
        <f t="shared" si="15"/>
        <v>6281.9655785999994</v>
      </c>
      <c r="T24" s="84">
        <f t="shared" si="16"/>
        <v>6178.8368618550003</v>
      </c>
      <c r="U24" s="84">
        <f t="shared" si="17"/>
        <v>1523.7306753</v>
      </c>
      <c r="V24" s="84">
        <f t="shared" si="18"/>
        <v>2083.2656757874902</v>
      </c>
      <c r="W24" s="84">
        <f t="shared" si="19"/>
        <v>2095.6200838935001</v>
      </c>
      <c r="X24" s="84">
        <f t="shared" si="20"/>
        <v>2090.1495903926852</v>
      </c>
      <c r="Y24" s="84">
        <f t="shared" si="21"/>
        <v>1302.0065667000001</v>
      </c>
      <c r="Z24" s="84">
        <f t="shared" si="22"/>
        <v>4117.3556537125105</v>
      </c>
      <c r="AA24" s="84">
        <f t="shared" si="23"/>
        <v>4186.3454947064993</v>
      </c>
      <c r="AB24" s="84">
        <f t="shared" si="24"/>
        <v>4088.687271462315</v>
      </c>
      <c r="AC24" s="84">
        <f t="shared" si="25"/>
        <v>325.50164167500003</v>
      </c>
      <c r="AD24" s="84">
        <f t="shared" si="26"/>
        <v>1029.3389134281276</v>
      </c>
      <c r="AE24" s="84">
        <f t="shared" si="27"/>
        <v>1046.5863736766248</v>
      </c>
      <c r="AF24" s="84">
        <f t="shared" si="28"/>
        <v>1022.1718178655788</v>
      </c>
      <c r="AG24" s="84">
        <f t="shared" si="29"/>
        <v>976.50492502500015</v>
      </c>
      <c r="AH24" s="84">
        <f t="shared" si="30"/>
        <v>3088.0167402843826</v>
      </c>
      <c r="AI24" s="84">
        <f t="shared" si="31"/>
        <v>3139.7591210298742</v>
      </c>
      <c r="AJ24" s="84">
        <f t="shared" si="32"/>
        <v>3066.5154535967363</v>
      </c>
      <c r="AK24" s="84">
        <f t="shared" si="33"/>
        <v>38331.443169959202</v>
      </c>
      <c r="AL24" s="84">
        <f t="shared" si="34"/>
        <v>31877.597076039561</v>
      </c>
      <c r="AM24" s="84">
        <f t="shared" si="35"/>
        <v>28910.288423339378</v>
      </c>
    </row>
    <row r="25" spans="1:39">
      <c r="A25" s="82" t="s">
        <v>250</v>
      </c>
      <c r="B25" s="83">
        <v>0.9</v>
      </c>
      <c r="C25" s="83">
        <v>0</v>
      </c>
      <c r="D25" s="83">
        <f t="shared" si="0"/>
        <v>0.75</v>
      </c>
      <c r="E25" s="84">
        <f t="shared" si="1"/>
        <v>2154.2488619999999</v>
      </c>
      <c r="F25" s="84">
        <f t="shared" si="2"/>
        <v>5128.0489215000007</v>
      </c>
      <c r="G25" s="84">
        <f t="shared" si="3"/>
        <v>5142.0983705999997</v>
      </c>
      <c r="H25" s="84">
        <f t="shared" si="4"/>
        <v>5128.0489215000007</v>
      </c>
      <c r="I25" s="84">
        <f t="shared" si="5"/>
        <v>248.73750000000001</v>
      </c>
      <c r="J25" s="84">
        <f t="shared" si="6"/>
        <v>396.17099999999999</v>
      </c>
      <c r="K25" s="84">
        <f t="shared" si="7"/>
        <v>463.4658</v>
      </c>
      <c r="L25" s="84">
        <f t="shared" si="8"/>
        <v>528.22799999999995</v>
      </c>
      <c r="M25" s="84">
        <f t="shared" si="9"/>
        <v>422.75088</v>
      </c>
      <c r="N25" s="84">
        <f t="shared" si="10"/>
        <v>676.40140800000006</v>
      </c>
      <c r="O25" s="84">
        <f t="shared" si="11"/>
        <v>676.40140800000006</v>
      </c>
      <c r="P25" s="84">
        <f t="shared" si="12"/>
        <v>676.40140800000006</v>
      </c>
      <c r="Q25" s="84">
        <f t="shared" si="13"/>
        <v>2825.7372420000002</v>
      </c>
      <c r="R25" s="84">
        <f t="shared" si="14"/>
        <v>6200.6213295000007</v>
      </c>
      <c r="S25" s="84">
        <f t="shared" si="15"/>
        <v>6281.9655785999994</v>
      </c>
      <c r="T25" s="84">
        <f t="shared" si="16"/>
        <v>6332.6783295000005</v>
      </c>
      <c r="U25" s="84">
        <f t="shared" si="17"/>
        <v>1523.7306753</v>
      </c>
      <c r="V25" s="84">
        <f t="shared" si="18"/>
        <v>2083.2656757874902</v>
      </c>
      <c r="W25" s="84">
        <f t="shared" si="19"/>
        <v>2095.6200838935001</v>
      </c>
      <c r="X25" s="84">
        <f t="shared" si="20"/>
        <v>2093.9956270838102</v>
      </c>
      <c r="Y25" s="84">
        <f t="shared" si="21"/>
        <v>1302.0065667000001</v>
      </c>
      <c r="Z25" s="84">
        <f t="shared" si="22"/>
        <v>4117.3556537125105</v>
      </c>
      <c r="AA25" s="84">
        <f t="shared" si="23"/>
        <v>4186.3454947064993</v>
      </c>
      <c r="AB25" s="84">
        <f t="shared" si="24"/>
        <v>4238.6827024161903</v>
      </c>
      <c r="AC25" s="84">
        <f t="shared" si="25"/>
        <v>325.50164167500003</v>
      </c>
      <c r="AD25" s="84">
        <f t="shared" si="26"/>
        <v>1029.3389134281276</v>
      </c>
      <c r="AE25" s="84">
        <f t="shared" si="27"/>
        <v>1046.5863736766248</v>
      </c>
      <c r="AF25" s="84">
        <f t="shared" si="28"/>
        <v>1059.6706756040476</v>
      </c>
      <c r="AG25" s="84">
        <f t="shared" si="29"/>
        <v>976.50492502500015</v>
      </c>
      <c r="AH25" s="84">
        <f t="shared" si="30"/>
        <v>3088.0167402843826</v>
      </c>
      <c r="AI25" s="84">
        <f t="shared" si="31"/>
        <v>3139.7591210298742</v>
      </c>
      <c r="AJ25" s="84">
        <f t="shared" si="32"/>
        <v>3179.0120268121427</v>
      </c>
      <c r="AK25" s="84">
        <f t="shared" si="33"/>
        <v>39737.650335151782</v>
      </c>
      <c r="AL25" s="84">
        <f t="shared" si="34"/>
        <v>32842.760757538839</v>
      </c>
      <c r="AM25" s="84">
        <f t="shared" si="35"/>
        <v>29847.340541299844</v>
      </c>
    </row>
    <row r="26" spans="1:39">
      <c r="A26" s="82" t="s">
        <v>251</v>
      </c>
      <c r="B26" s="83">
        <v>0.9</v>
      </c>
      <c r="C26" s="83">
        <v>0.03</v>
      </c>
      <c r="D26" s="83">
        <f t="shared" si="0"/>
        <v>0.75</v>
      </c>
      <c r="E26" s="84">
        <f t="shared" si="1"/>
        <v>2154.2488619999999</v>
      </c>
      <c r="F26" s="84">
        <f t="shared" si="2"/>
        <v>5128.0489215000007</v>
      </c>
      <c r="G26" s="84">
        <f t="shared" si="3"/>
        <v>5142.0983705999997</v>
      </c>
      <c r="H26" s="84">
        <f t="shared" si="4"/>
        <v>5281.890389145</v>
      </c>
      <c r="I26" s="84">
        <f t="shared" si="5"/>
        <v>248.73750000000001</v>
      </c>
      <c r="J26" s="84">
        <f t="shared" si="6"/>
        <v>396.17099999999999</v>
      </c>
      <c r="K26" s="84">
        <f t="shared" si="7"/>
        <v>463.4658</v>
      </c>
      <c r="L26" s="84">
        <f t="shared" si="8"/>
        <v>528.22799999999995</v>
      </c>
      <c r="M26" s="84">
        <f t="shared" si="9"/>
        <v>422.75088</v>
      </c>
      <c r="N26" s="84">
        <f t="shared" si="10"/>
        <v>676.40140800000006</v>
      </c>
      <c r="O26" s="84">
        <f t="shared" si="11"/>
        <v>676.40140800000006</v>
      </c>
      <c r="P26" s="84">
        <f t="shared" si="12"/>
        <v>676.40140800000006</v>
      </c>
      <c r="Q26" s="84">
        <f t="shared" si="13"/>
        <v>2825.7372420000002</v>
      </c>
      <c r="R26" s="84">
        <f t="shared" si="14"/>
        <v>6200.6213295000007</v>
      </c>
      <c r="S26" s="84">
        <f t="shared" si="15"/>
        <v>6281.9655785999994</v>
      </c>
      <c r="T26" s="84">
        <f t="shared" si="16"/>
        <v>6486.5197971449998</v>
      </c>
      <c r="U26" s="84">
        <f t="shared" si="17"/>
        <v>1523.7306753</v>
      </c>
      <c r="V26" s="84">
        <f t="shared" si="18"/>
        <v>2083.2656757874902</v>
      </c>
      <c r="W26" s="84">
        <f t="shared" si="19"/>
        <v>2095.6200838935001</v>
      </c>
      <c r="X26" s="84">
        <f t="shared" si="20"/>
        <v>2097.8416637749351</v>
      </c>
      <c r="Y26" s="84">
        <f t="shared" si="21"/>
        <v>1302.0065667000001</v>
      </c>
      <c r="Z26" s="84">
        <f t="shared" si="22"/>
        <v>4117.3556537125105</v>
      </c>
      <c r="AA26" s="84">
        <f t="shared" si="23"/>
        <v>4186.3454947064993</v>
      </c>
      <c r="AB26" s="84">
        <f t="shared" si="24"/>
        <v>4388.6781333700646</v>
      </c>
      <c r="AC26" s="84">
        <f t="shared" si="25"/>
        <v>325.50164167500003</v>
      </c>
      <c r="AD26" s="84">
        <f t="shared" si="26"/>
        <v>1029.3389134281276</v>
      </c>
      <c r="AE26" s="84">
        <f t="shared" si="27"/>
        <v>1046.5863736766248</v>
      </c>
      <c r="AF26" s="84">
        <f t="shared" si="28"/>
        <v>1097.1695333425162</v>
      </c>
      <c r="AG26" s="84">
        <f t="shared" si="29"/>
        <v>976.50492502500015</v>
      </c>
      <c r="AH26" s="84">
        <f t="shared" si="30"/>
        <v>3088.0167402843826</v>
      </c>
      <c r="AI26" s="84">
        <f t="shared" si="31"/>
        <v>3139.7591210298742</v>
      </c>
      <c r="AJ26" s="84">
        <f t="shared" si="32"/>
        <v>3291.5086000275487</v>
      </c>
      <c r="AK26" s="84">
        <f t="shared" si="33"/>
        <v>41143.857500344355</v>
      </c>
      <c r="AL26" s="84">
        <f t="shared" si="34"/>
        <v>33807.924439038106</v>
      </c>
      <c r="AM26" s="84">
        <f t="shared" si="35"/>
        <v>30784.392659260298</v>
      </c>
    </row>
    <row r="27" spans="1:39">
      <c r="A27" s="82" t="s">
        <v>252</v>
      </c>
      <c r="B27" s="83">
        <v>0.9</v>
      </c>
      <c r="C27" s="83">
        <v>0.05</v>
      </c>
      <c r="D27" s="83">
        <f t="shared" si="0"/>
        <v>0.75</v>
      </c>
      <c r="E27" s="84">
        <f t="shared" si="1"/>
        <v>2154.2488619999999</v>
      </c>
      <c r="F27" s="84">
        <f t="shared" si="2"/>
        <v>5128.0489215000007</v>
      </c>
      <c r="G27" s="84">
        <f t="shared" si="3"/>
        <v>5142.0983705999997</v>
      </c>
      <c r="H27" s="84">
        <f t="shared" si="4"/>
        <v>5384.4513675750013</v>
      </c>
      <c r="I27" s="84">
        <f t="shared" si="5"/>
        <v>248.73750000000001</v>
      </c>
      <c r="J27" s="84">
        <f t="shared" si="6"/>
        <v>396.17099999999999</v>
      </c>
      <c r="K27" s="84">
        <f t="shared" si="7"/>
        <v>463.4658</v>
      </c>
      <c r="L27" s="84">
        <f t="shared" si="8"/>
        <v>528.22799999999995</v>
      </c>
      <c r="M27" s="84">
        <f t="shared" si="9"/>
        <v>422.75088</v>
      </c>
      <c r="N27" s="84">
        <f t="shared" si="10"/>
        <v>676.40140800000006</v>
      </c>
      <c r="O27" s="84">
        <f t="shared" si="11"/>
        <v>676.40140800000006</v>
      </c>
      <c r="P27" s="84">
        <f t="shared" si="12"/>
        <v>676.40140800000006</v>
      </c>
      <c r="Q27" s="84">
        <f t="shared" si="13"/>
        <v>2825.7372420000002</v>
      </c>
      <c r="R27" s="84">
        <f t="shared" si="14"/>
        <v>6200.6213295000007</v>
      </c>
      <c r="S27" s="84">
        <f t="shared" si="15"/>
        <v>6281.9655785999994</v>
      </c>
      <c r="T27" s="84">
        <f t="shared" si="16"/>
        <v>6589.0807755750011</v>
      </c>
      <c r="U27" s="84">
        <f t="shared" si="17"/>
        <v>1523.7306753</v>
      </c>
      <c r="V27" s="84">
        <f t="shared" si="18"/>
        <v>2083.2656757874902</v>
      </c>
      <c r="W27" s="84">
        <f t="shared" si="19"/>
        <v>2095.6200838935001</v>
      </c>
      <c r="X27" s="84">
        <f t="shared" si="20"/>
        <v>2100.4056882356849</v>
      </c>
      <c r="Y27" s="84">
        <f t="shared" si="21"/>
        <v>1302.0065667000001</v>
      </c>
      <c r="Z27" s="84">
        <f t="shared" si="22"/>
        <v>4117.3556537125105</v>
      </c>
      <c r="AA27" s="84">
        <f t="shared" si="23"/>
        <v>4186.3454947064993</v>
      </c>
      <c r="AB27" s="84">
        <f t="shared" si="24"/>
        <v>4488.6750873393157</v>
      </c>
      <c r="AC27" s="84">
        <f t="shared" si="25"/>
        <v>325.50164167500003</v>
      </c>
      <c r="AD27" s="84">
        <f t="shared" si="26"/>
        <v>1029.3389134281276</v>
      </c>
      <c r="AE27" s="84">
        <f t="shared" si="27"/>
        <v>1046.5863736766248</v>
      </c>
      <c r="AF27" s="84">
        <f t="shared" si="28"/>
        <v>1122.1687718348289</v>
      </c>
      <c r="AG27" s="84">
        <f t="shared" si="29"/>
        <v>976.50492502500015</v>
      </c>
      <c r="AH27" s="84">
        <f t="shared" si="30"/>
        <v>3088.0167402843826</v>
      </c>
      <c r="AI27" s="84">
        <f t="shared" si="31"/>
        <v>3139.7591210298742</v>
      </c>
      <c r="AJ27" s="84">
        <f t="shared" si="32"/>
        <v>3366.5063155044868</v>
      </c>
      <c r="AK27" s="84">
        <f t="shared" si="33"/>
        <v>42081.328943806082</v>
      </c>
      <c r="AL27" s="84">
        <f t="shared" si="34"/>
        <v>34451.366893370963</v>
      </c>
      <c r="AM27" s="84">
        <f t="shared" si="35"/>
        <v>31409.094071233943</v>
      </c>
    </row>
    <row r="28" spans="1:39">
      <c r="A28" s="82" t="s">
        <v>253</v>
      </c>
      <c r="B28" s="83">
        <v>0.9</v>
      </c>
      <c r="C28" s="83">
        <v>0.08</v>
      </c>
      <c r="D28" s="83">
        <f t="shared" si="0"/>
        <v>0.75</v>
      </c>
      <c r="E28" s="84">
        <f t="shared" si="1"/>
        <v>2154.2488619999999</v>
      </c>
      <c r="F28" s="84">
        <f t="shared" si="2"/>
        <v>5128.0489215000007</v>
      </c>
      <c r="G28" s="84">
        <f t="shared" si="3"/>
        <v>5142.0983705999997</v>
      </c>
      <c r="H28" s="84">
        <f t="shared" si="4"/>
        <v>5538.2928352200006</v>
      </c>
      <c r="I28" s="84">
        <f t="shared" si="5"/>
        <v>248.73750000000001</v>
      </c>
      <c r="J28" s="84">
        <f t="shared" si="6"/>
        <v>396.17099999999999</v>
      </c>
      <c r="K28" s="84">
        <f t="shared" si="7"/>
        <v>463.4658</v>
      </c>
      <c r="L28" s="84">
        <f t="shared" si="8"/>
        <v>528.22799999999995</v>
      </c>
      <c r="M28" s="84">
        <f t="shared" si="9"/>
        <v>422.75088</v>
      </c>
      <c r="N28" s="84">
        <f t="shared" si="10"/>
        <v>676.40140800000006</v>
      </c>
      <c r="O28" s="84">
        <f t="shared" si="11"/>
        <v>676.40140800000006</v>
      </c>
      <c r="P28" s="84">
        <f t="shared" si="12"/>
        <v>676.40140800000006</v>
      </c>
      <c r="Q28" s="84">
        <f t="shared" si="13"/>
        <v>2825.7372420000002</v>
      </c>
      <c r="R28" s="84">
        <f t="shared" si="14"/>
        <v>6200.6213295000007</v>
      </c>
      <c r="S28" s="84">
        <f t="shared" si="15"/>
        <v>6281.9655785999994</v>
      </c>
      <c r="T28" s="84">
        <f t="shared" si="16"/>
        <v>6742.9222432200004</v>
      </c>
      <c r="U28" s="84">
        <f t="shared" si="17"/>
        <v>1523.7306753</v>
      </c>
      <c r="V28" s="84">
        <f t="shared" si="18"/>
        <v>2083.2656757874902</v>
      </c>
      <c r="W28" s="84">
        <f t="shared" si="19"/>
        <v>2095.6200838935001</v>
      </c>
      <c r="X28" s="84">
        <f t="shared" si="20"/>
        <v>2104.2517249268103</v>
      </c>
      <c r="Y28" s="84">
        <f t="shared" si="21"/>
        <v>1302.0065667000001</v>
      </c>
      <c r="Z28" s="84">
        <f t="shared" si="22"/>
        <v>4117.3556537125105</v>
      </c>
      <c r="AA28" s="84">
        <f t="shared" si="23"/>
        <v>4186.3454947064993</v>
      </c>
      <c r="AB28" s="84">
        <f t="shared" si="24"/>
        <v>4638.6705182931901</v>
      </c>
      <c r="AC28" s="84">
        <f t="shared" si="25"/>
        <v>325.50164167500003</v>
      </c>
      <c r="AD28" s="84">
        <f t="shared" si="26"/>
        <v>1029.3389134281276</v>
      </c>
      <c r="AE28" s="84">
        <f t="shared" si="27"/>
        <v>1046.5863736766248</v>
      </c>
      <c r="AF28" s="84">
        <f t="shared" si="28"/>
        <v>1159.6676295732975</v>
      </c>
      <c r="AG28" s="84">
        <f t="shared" si="29"/>
        <v>976.50492502500015</v>
      </c>
      <c r="AH28" s="84">
        <f t="shared" si="30"/>
        <v>3088.0167402843826</v>
      </c>
      <c r="AI28" s="84">
        <f t="shared" si="31"/>
        <v>3139.7591210298742</v>
      </c>
      <c r="AJ28" s="84">
        <f t="shared" si="32"/>
        <v>3479.0028887198923</v>
      </c>
      <c r="AK28" s="84">
        <f t="shared" si="33"/>
        <v>43487.536108998655</v>
      </c>
      <c r="AL28" s="84">
        <f t="shared" si="34"/>
        <v>35416.530574870238</v>
      </c>
      <c r="AM28" s="84">
        <f t="shared" si="35"/>
        <v>32346.146189194405</v>
      </c>
    </row>
    <row r="29" spans="1:39">
      <c r="A29" s="82" t="s">
        <v>254</v>
      </c>
      <c r="B29" s="83">
        <v>0.95</v>
      </c>
      <c r="C29" s="83">
        <v>-0.03</v>
      </c>
      <c r="D29" s="83">
        <f t="shared" si="0"/>
        <v>0.79999999999999993</v>
      </c>
      <c r="E29" s="84">
        <f t="shared" si="1"/>
        <v>2297.8654527999997</v>
      </c>
      <c r="F29" s="84">
        <f t="shared" si="2"/>
        <v>5412.9405282499993</v>
      </c>
      <c r="G29" s="84">
        <f t="shared" si="3"/>
        <v>5427.7705022999999</v>
      </c>
      <c r="H29" s="84">
        <f t="shared" si="4"/>
        <v>5250.5523124024985</v>
      </c>
      <c r="I29" s="84">
        <f t="shared" si="5"/>
        <v>248.73750000000001</v>
      </c>
      <c r="J29" s="84">
        <f t="shared" si="6"/>
        <v>396.17099999999999</v>
      </c>
      <c r="K29" s="84">
        <f t="shared" si="7"/>
        <v>463.4658</v>
      </c>
      <c r="L29" s="84">
        <f t="shared" si="8"/>
        <v>528.22799999999995</v>
      </c>
      <c r="M29" s="84">
        <f t="shared" si="9"/>
        <v>450.93427199999996</v>
      </c>
      <c r="N29" s="84">
        <f t="shared" si="10"/>
        <v>713.97926399999994</v>
      </c>
      <c r="O29" s="84">
        <f t="shared" si="11"/>
        <v>713.97926399999994</v>
      </c>
      <c r="P29" s="84">
        <f t="shared" si="12"/>
        <v>713.97926399999994</v>
      </c>
      <c r="Q29" s="84">
        <f t="shared" si="13"/>
        <v>2997.5372247999999</v>
      </c>
      <c r="R29" s="84">
        <f t="shared" si="14"/>
        <v>6523.0907922499991</v>
      </c>
      <c r="S29" s="84">
        <f t="shared" si="15"/>
        <v>6605.2155662999994</v>
      </c>
      <c r="T29" s="84">
        <f t="shared" si="16"/>
        <v>6492.7595764024982</v>
      </c>
      <c r="U29" s="84">
        <f t="shared" si="17"/>
        <v>1527.3210900699999</v>
      </c>
      <c r="V29" s="84">
        <f t="shared" si="18"/>
        <v>2090.3879659562399</v>
      </c>
      <c r="W29" s="84">
        <f t="shared" si="19"/>
        <v>2102.761887186</v>
      </c>
      <c r="X29" s="84">
        <f t="shared" si="20"/>
        <v>2097.0582118563725</v>
      </c>
      <c r="Y29" s="84">
        <f t="shared" si="21"/>
        <v>1470.21613473</v>
      </c>
      <c r="Z29" s="84">
        <f t="shared" si="22"/>
        <v>4432.7028262937592</v>
      </c>
      <c r="AA29" s="84">
        <f t="shared" si="23"/>
        <v>4502.4536791139999</v>
      </c>
      <c r="AB29" s="84">
        <f t="shared" si="24"/>
        <v>4395.7013645461257</v>
      </c>
      <c r="AC29" s="84">
        <f t="shared" si="25"/>
        <v>367.55403368250001</v>
      </c>
      <c r="AD29" s="84">
        <f t="shared" si="26"/>
        <v>1108.1757065734398</v>
      </c>
      <c r="AE29" s="84">
        <f t="shared" si="27"/>
        <v>1125.6134197785</v>
      </c>
      <c r="AF29" s="84">
        <f t="shared" si="28"/>
        <v>1098.9253411365314</v>
      </c>
      <c r="AG29" s="84">
        <f t="shared" si="29"/>
        <v>1102.6621010475001</v>
      </c>
      <c r="AH29" s="84">
        <f t="shared" si="30"/>
        <v>3324.5271197203192</v>
      </c>
      <c r="AI29" s="84">
        <f t="shared" si="31"/>
        <v>3376.8402593354999</v>
      </c>
      <c r="AJ29" s="84">
        <f t="shared" si="32"/>
        <v>3296.776023409594</v>
      </c>
      <c r="AK29" s="84">
        <f t="shared" si="33"/>
        <v>41209.700292619927</v>
      </c>
      <c r="AL29" s="84">
        <f t="shared" si="34"/>
        <v>34323.050900220827</v>
      </c>
      <c r="AM29" s="84">
        <f t="shared" si="35"/>
        <v>31284.515437107599</v>
      </c>
    </row>
    <row r="30" spans="1:39">
      <c r="A30" s="82" t="s">
        <v>255</v>
      </c>
      <c r="B30" s="83">
        <v>0.95</v>
      </c>
      <c r="C30" s="83">
        <v>0</v>
      </c>
      <c r="D30" s="83">
        <f t="shared" si="0"/>
        <v>0.79999999999999993</v>
      </c>
      <c r="E30" s="84">
        <f t="shared" si="1"/>
        <v>2297.8654527999997</v>
      </c>
      <c r="F30" s="84">
        <f t="shared" si="2"/>
        <v>5412.9405282499993</v>
      </c>
      <c r="G30" s="84">
        <f t="shared" si="3"/>
        <v>5427.7705022999999</v>
      </c>
      <c r="H30" s="84">
        <f t="shared" si="4"/>
        <v>5412.9405282499993</v>
      </c>
      <c r="I30" s="84">
        <f t="shared" si="5"/>
        <v>248.73750000000001</v>
      </c>
      <c r="J30" s="84">
        <f t="shared" si="6"/>
        <v>396.17099999999999</v>
      </c>
      <c r="K30" s="84">
        <f t="shared" si="7"/>
        <v>463.4658</v>
      </c>
      <c r="L30" s="84">
        <f t="shared" si="8"/>
        <v>528.22799999999995</v>
      </c>
      <c r="M30" s="84">
        <f t="shared" si="9"/>
        <v>450.93427199999996</v>
      </c>
      <c r="N30" s="84">
        <f t="shared" si="10"/>
        <v>713.97926399999994</v>
      </c>
      <c r="O30" s="84">
        <f t="shared" si="11"/>
        <v>713.97926399999994</v>
      </c>
      <c r="P30" s="84">
        <f t="shared" si="12"/>
        <v>713.97926399999994</v>
      </c>
      <c r="Q30" s="84">
        <f t="shared" si="13"/>
        <v>2997.5372247999999</v>
      </c>
      <c r="R30" s="84">
        <f t="shared" si="14"/>
        <v>6523.0907922499991</v>
      </c>
      <c r="S30" s="84">
        <f t="shared" si="15"/>
        <v>6605.2155662999994</v>
      </c>
      <c r="T30" s="84">
        <f t="shared" si="16"/>
        <v>6655.1477922499989</v>
      </c>
      <c r="U30" s="84">
        <f t="shared" si="17"/>
        <v>1527.3210900699999</v>
      </c>
      <c r="V30" s="84">
        <f t="shared" si="18"/>
        <v>2090.3879659562399</v>
      </c>
      <c r="W30" s="84">
        <f t="shared" si="19"/>
        <v>2102.761887186</v>
      </c>
      <c r="X30" s="84">
        <f t="shared" si="20"/>
        <v>2101.1179172525599</v>
      </c>
      <c r="Y30" s="84">
        <f t="shared" si="21"/>
        <v>1470.21613473</v>
      </c>
      <c r="Z30" s="84">
        <f t="shared" si="22"/>
        <v>4432.7028262937592</v>
      </c>
      <c r="AA30" s="84">
        <f t="shared" si="23"/>
        <v>4502.4536791139999</v>
      </c>
      <c r="AB30" s="84">
        <f t="shared" si="24"/>
        <v>4554.029874997439</v>
      </c>
      <c r="AC30" s="84">
        <f t="shared" si="25"/>
        <v>367.55403368250001</v>
      </c>
      <c r="AD30" s="84">
        <f t="shared" si="26"/>
        <v>1108.1757065734398</v>
      </c>
      <c r="AE30" s="84">
        <f t="shared" si="27"/>
        <v>1125.6134197785</v>
      </c>
      <c r="AF30" s="84">
        <f t="shared" si="28"/>
        <v>1138.5074687493598</v>
      </c>
      <c r="AG30" s="84">
        <f t="shared" si="29"/>
        <v>1102.6621010475001</v>
      </c>
      <c r="AH30" s="84">
        <f t="shared" si="30"/>
        <v>3324.5271197203192</v>
      </c>
      <c r="AI30" s="84">
        <f t="shared" si="31"/>
        <v>3376.8402593354999</v>
      </c>
      <c r="AJ30" s="84">
        <f t="shared" si="32"/>
        <v>3415.5224062480793</v>
      </c>
      <c r="AK30" s="84">
        <f t="shared" si="33"/>
        <v>42694.030078100994</v>
      </c>
      <c r="AL30" s="84">
        <f t="shared" si="34"/>
        <v>35341.834786247848</v>
      </c>
      <c r="AM30" s="84">
        <f t="shared" si="35"/>
        <v>32273.626006065871</v>
      </c>
    </row>
    <row r="31" spans="1:39">
      <c r="A31" s="82" t="s">
        <v>256</v>
      </c>
      <c r="B31" s="83">
        <v>0.95</v>
      </c>
      <c r="C31" s="83">
        <v>0.03</v>
      </c>
      <c r="D31" s="83">
        <f t="shared" si="0"/>
        <v>0.79999999999999993</v>
      </c>
      <c r="E31" s="84">
        <f t="shared" si="1"/>
        <v>2297.8654527999997</v>
      </c>
      <c r="F31" s="84">
        <f t="shared" si="2"/>
        <v>5412.9405282499993</v>
      </c>
      <c r="G31" s="84">
        <f t="shared" si="3"/>
        <v>5427.7705022999999</v>
      </c>
      <c r="H31" s="84">
        <f t="shared" si="4"/>
        <v>5575.3287440974991</v>
      </c>
      <c r="I31" s="84">
        <f t="shared" si="5"/>
        <v>248.73750000000001</v>
      </c>
      <c r="J31" s="84">
        <f t="shared" si="6"/>
        <v>396.17099999999999</v>
      </c>
      <c r="K31" s="84">
        <f t="shared" si="7"/>
        <v>463.4658</v>
      </c>
      <c r="L31" s="84">
        <f t="shared" si="8"/>
        <v>528.22799999999995</v>
      </c>
      <c r="M31" s="84">
        <f t="shared" si="9"/>
        <v>450.93427199999996</v>
      </c>
      <c r="N31" s="84">
        <f t="shared" si="10"/>
        <v>713.97926399999994</v>
      </c>
      <c r="O31" s="84">
        <f t="shared" si="11"/>
        <v>713.97926399999994</v>
      </c>
      <c r="P31" s="84">
        <f t="shared" si="12"/>
        <v>713.97926399999994</v>
      </c>
      <c r="Q31" s="84">
        <f t="shared" si="13"/>
        <v>2997.5372247999999</v>
      </c>
      <c r="R31" s="84">
        <f t="shared" si="14"/>
        <v>6523.0907922499991</v>
      </c>
      <c r="S31" s="84">
        <f t="shared" si="15"/>
        <v>6605.2155662999994</v>
      </c>
      <c r="T31" s="84">
        <f t="shared" si="16"/>
        <v>6817.5360080974988</v>
      </c>
      <c r="U31" s="84">
        <f t="shared" si="17"/>
        <v>1527.3210900699999</v>
      </c>
      <c r="V31" s="84">
        <f t="shared" si="18"/>
        <v>2090.3879659562399</v>
      </c>
      <c r="W31" s="84">
        <f t="shared" si="19"/>
        <v>2102.761887186</v>
      </c>
      <c r="X31" s="84">
        <f t="shared" si="20"/>
        <v>2105.1776226487477</v>
      </c>
      <c r="Y31" s="84">
        <f t="shared" si="21"/>
        <v>1470.21613473</v>
      </c>
      <c r="Z31" s="84">
        <f t="shared" si="22"/>
        <v>4432.7028262937592</v>
      </c>
      <c r="AA31" s="84">
        <f t="shared" si="23"/>
        <v>4502.4536791139999</v>
      </c>
      <c r="AB31" s="84">
        <f t="shared" si="24"/>
        <v>4712.3583854487515</v>
      </c>
      <c r="AC31" s="84">
        <f t="shared" si="25"/>
        <v>367.55403368250001</v>
      </c>
      <c r="AD31" s="84">
        <f t="shared" si="26"/>
        <v>1108.1757065734398</v>
      </c>
      <c r="AE31" s="84">
        <f t="shared" si="27"/>
        <v>1125.6134197785</v>
      </c>
      <c r="AF31" s="84">
        <f t="shared" si="28"/>
        <v>1178.0895963621879</v>
      </c>
      <c r="AG31" s="84">
        <f t="shared" si="29"/>
        <v>1102.6621010475001</v>
      </c>
      <c r="AH31" s="84">
        <f t="shared" si="30"/>
        <v>3324.5271197203192</v>
      </c>
      <c r="AI31" s="84">
        <f t="shared" si="31"/>
        <v>3376.8402593354999</v>
      </c>
      <c r="AJ31" s="84">
        <f t="shared" si="32"/>
        <v>3534.2687890865636</v>
      </c>
      <c r="AK31" s="84">
        <f t="shared" si="33"/>
        <v>44178.359863582045</v>
      </c>
      <c r="AL31" s="84">
        <f t="shared" si="34"/>
        <v>36360.618672274861</v>
      </c>
      <c r="AM31" s="84">
        <f t="shared" si="35"/>
        <v>33262.736575024137</v>
      </c>
    </row>
    <row r="32" spans="1:39">
      <c r="A32" s="82" t="s">
        <v>257</v>
      </c>
      <c r="B32" s="83">
        <v>0.95</v>
      </c>
      <c r="C32" s="83">
        <v>0.05</v>
      </c>
      <c r="D32" s="83">
        <f t="shared" si="0"/>
        <v>0.79999999999999993</v>
      </c>
      <c r="E32" s="84">
        <f t="shared" si="1"/>
        <v>2297.8654527999997</v>
      </c>
      <c r="F32" s="84">
        <f t="shared" si="2"/>
        <v>5412.9405282499993</v>
      </c>
      <c r="G32" s="84">
        <f t="shared" si="3"/>
        <v>5427.7705022999999</v>
      </c>
      <c r="H32" s="84">
        <f t="shared" si="4"/>
        <v>5683.5875546624993</v>
      </c>
      <c r="I32" s="84">
        <f t="shared" si="5"/>
        <v>248.73750000000001</v>
      </c>
      <c r="J32" s="84">
        <f t="shared" si="6"/>
        <v>396.17099999999999</v>
      </c>
      <c r="K32" s="84">
        <f t="shared" si="7"/>
        <v>463.4658</v>
      </c>
      <c r="L32" s="84">
        <f t="shared" si="8"/>
        <v>528.22799999999995</v>
      </c>
      <c r="M32" s="84">
        <f t="shared" si="9"/>
        <v>450.93427199999996</v>
      </c>
      <c r="N32" s="84">
        <f t="shared" si="10"/>
        <v>713.97926399999994</v>
      </c>
      <c r="O32" s="84">
        <f t="shared" si="11"/>
        <v>713.97926399999994</v>
      </c>
      <c r="P32" s="84">
        <f t="shared" si="12"/>
        <v>713.97926399999994</v>
      </c>
      <c r="Q32" s="84">
        <f t="shared" si="13"/>
        <v>2997.5372247999999</v>
      </c>
      <c r="R32" s="84">
        <f t="shared" si="14"/>
        <v>6523.0907922499991</v>
      </c>
      <c r="S32" s="84">
        <f t="shared" si="15"/>
        <v>6605.2155662999994</v>
      </c>
      <c r="T32" s="84">
        <f t="shared" si="16"/>
        <v>6925.794818662499</v>
      </c>
      <c r="U32" s="84">
        <f t="shared" si="17"/>
        <v>1527.3210900699999</v>
      </c>
      <c r="V32" s="84">
        <f t="shared" si="18"/>
        <v>2090.3879659562399</v>
      </c>
      <c r="W32" s="84">
        <f t="shared" si="19"/>
        <v>2102.761887186</v>
      </c>
      <c r="X32" s="84">
        <f t="shared" si="20"/>
        <v>2107.8840929128728</v>
      </c>
      <c r="Y32" s="84">
        <f t="shared" si="21"/>
        <v>1470.21613473</v>
      </c>
      <c r="Z32" s="84">
        <f t="shared" si="22"/>
        <v>4432.7028262937592</v>
      </c>
      <c r="AA32" s="84">
        <f t="shared" si="23"/>
        <v>4502.4536791139999</v>
      </c>
      <c r="AB32" s="84">
        <f t="shared" si="24"/>
        <v>4817.9107257496262</v>
      </c>
      <c r="AC32" s="84">
        <f t="shared" si="25"/>
        <v>367.55403368250001</v>
      </c>
      <c r="AD32" s="84">
        <f t="shared" si="26"/>
        <v>1108.1757065734398</v>
      </c>
      <c r="AE32" s="84">
        <f t="shared" si="27"/>
        <v>1125.6134197785</v>
      </c>
      <c r="AF32" s="84">
        <f t="shared" si="28"/>
        <v>1204.4776814374065</v>
      </c>
      <c r="AG32" s="84">
        <f t="shared" si="29"/>
        <v>1102.6621010475001</v>
      </c>
      <c r="AH32" s="84">
        <f t="shared" si="30"/>
        <v>3324.5271197203192</v>
      </c>
      <c r="AI32" s="84">
        <f t="shared" si="31"/>
        <v>3376.8402593354999</v>
      </c>
      <c r="AJ32" s="84">
        <f t="shared" si="32"/>
        <v>3613.4330443122199</v>
      </c>
      <c r="AK32" s="84">
        <f t="shared" si="33"/>
        <v>45167.913053902746</v>
      </c>
      <c r="AL32" s="84">
        <f t="shared" si="34"/>
        <v>37039.8079296262</v>
      </c>
      <c r="AM32" s="84">
        <f t="shared" si="35"/>
        <v>33922.143620996307</v>
      </c>
    </row>
    <row r="33" spans="1:39">
      <c r="A33" s="82" t="s">
        <v>258</v>
      </c>
      <c r="B33" s="83">
        <v>0.95</v>
      </c>
      <c r="C33" s="83">
        <v>0.08</v>
      </c>
      <c r="D33" s="83">
        <f t="shared" si="0"/>
        <v>0.79999999999999993</v>
      </c>
      <c r="E33" s="84">
        <f t="shared" si="1"/>
        <v>2297.8654527999997</v>
      </c>
      <c r="F33" s="84">
        <f t="shared" si="2"/>
        <v>5412.9405282499993</v>
      </c>
      <c r="G33" s="84">
        <f t="shared" si="3"/>
        <v>5427.7705022999999</v>
      </c>
      <c r="H33" s="84">
        <f t="shared" si="4"/>
        <v>5845.9757705099992</v>
      </c>
      <c r="I33" s="84">
        <f t="shared" si="5"/>
        <v>248.73750000000001</v>
      </c>
      <c r="J33" s="84">
        <f t="shared" si="6"/>
        <v>396.17099999999999</v>
      </c>
      <c r="K33" s="84">
        <f t="shared" si="7"/>
        <v>463.4658</v>
      </c>
      <c r="L33" s="84">
        <f t="shared" si="8"/>
        <v>528.22799999999995</v>
      </c>
      <c r="M33" s="84">
        <f t="shared" si="9"/>
        <v>450.93427199999996</v>
      </c>
      <c r="N33" s="84">
        <f t="shared" si="10"/>
        <v>713.97926399999994</v>
      </c>
      <c r="O33" s="84">
        <f t="shared" si="11"/>
        <v>713.97926399999994</v>
      </c>
      <c r="P33" s="84">
        <f t="shared" si="12"/>
        <v>713.97926399999994</v>
      </c>
      <c r="Q33" s="84">
        <f t="shared" si="13"/>
        <v>2997.5372247999999</v>
      </c>
      <c r="R33" s="84">
        <f t="shared" si="14"/>
        <v>6523.0907922499991</v>
      </c>
      <c r="S33" s="84">
        <f t="shared" si="15"/>
        <v>6605.2155662999994</v>
      </c>
      <c r="T33" s="84">
        <f t="shared" si="16"/>
        <v>7088.1830345099988</v>
      </c>
      <c r="U33" s="84">
        <f t="shared" si="17"/>
        <v>1527.3210900699999</v>
      </c>
      <c r="V33" s="84">
        <f t="shared" si="18"/>
        <v>2090.3879659562399</v>
      </c>
      <c r="W33" s="84">
        <f t="shared" si="19"/>
        <v>2102.761887186</v>
      </c>
      <c r="X33" s="84">
        <f t="shared" si="20"/>
        <v>2111.9437983090602</v>
      </c>
      <c r="Y33" s="84">
        <f t="shared" si="21"/>
        <v>1470.21613473</v>
      </c>
      <c r="Z33" s="84">
        <f t="shared" si="22"/>
        <v>4432.7028262937592</v>
      </c>
      <c r="AA33" s="84">
        <f t="shared" si="23"/>
        <v>4502.4536791139999</v>
      </c>
      <c r="AB33" s="84">
        <f t="shared" si="24"/>
        <v>4976.2392362009386</v>
      </c>
      <c r="AC33" s="84">
        <f t="shared" si="25"/>
        <v>367.55403368250001</v>
      </c>
      <c r="AD33" s="84">
        <f t="shared" si="26"/>
        <v>1108.1757065734398</v>
      </c>
      <c r="AE33" s="84">
        <f t="shared" si="27"/>
        <v>1125.6134197785</v>
      </c>
      <c r="AF33" s="84">
        <f t="shared" si="28"/>
        <v>1244.0598090502347</v>
      </c>
      <c r="AG33" s="84">
        <f t="shared" si="29"/>
        <v>1102.6621010475001</v>
      </c>
      <c r="AH33" s="84">
        <f t="shared" si="30"/>
        <v>3324.5271197203192</v>
      </c>
      <c r="AI33" s="84">
        <f t="shared" si="31"/>
        <v>3376.8402593354999</v>
      </c>
      <c r="AJ33" s="84">
        <f t="shared" si="32"/>
        <v>3732.1794271507042</v>
      </c>
      <c r="AK33" s="84">
        <f t="shared" si="33"/>
        <v>46652.242839383798</v>
      </c>
      <c r="AL33" s="84">
        <f t="shared" si="34"/>
        <v>38058.591815653206</v>
      </c>
      <c r="AM33" s="84">
        <f t="shared" si="35"/>
        <v>34911.254189954569</v>
      </c>
    </row>
  </sheetData>
  <mergeCells count="1">
    <mergeCell ref="A1:AM1"/>
  </mergeCells>
  <phoneticPr fontId="18" type="noConversion"/>
  <pageMargins left="0.2" right="0.2" top="0.3" bottom="0.3" header="0.1" footer="0.1"/>
  <pageSetup paperSize="9" fitToWidth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封面</vt:lpstr>
      <vt:lpstr>主要假设</vt:lpstr>
      <vt:lpstr>年度现金流</vt:lpstr>
      <vt:lpstr>季度现金流</vt:lpstr>
      <vt:lpstr>收购价格</vt:lpstr>
      <vt:lpstr>敏感性分析</vt:lpstr>
      <vt:lpstr>敏感性计算明细</vt:lpstr>
      <vt:lpstr>封面!Print_Area</vt:lpstr>
      <vt:lpstr>季度现金流!Print_Area</vt:lpstr>
      <vt:lpstr>敏感性分析!Print_Area</vt:lpstr>
      <vt:lpstr>敏感性计算明细!Print_Area</vt:lpstr>
      <vt:lpstr>年度现金流!Print_Area</vt:lpstr>
      <vt:lpstr>收购价格!Print_Area</vt:lpstr>
      <vt:lpstr>主要假设!Print_Area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博文 李</cp:lastModifiedBy>
  <cp:lastPrinted>2026-04-26T07:41:34Z</cp:lastPrinted>
  <dcterms:created xsi:type="dcterms:W3CDTF">2026-04-22T06:56:02Z</dcterms:created>
  <dcterms:modified xsi:type="dcterms:W3CDTF">2026-04-26T07:41:34Z</dcterms:modified>
</cp:coreProperties>
</file>